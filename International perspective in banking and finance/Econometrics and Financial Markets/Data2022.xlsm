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oma\Desktop\TBS\International perspective in banking and finance\Econometrics and Financial Markets\"/>
    </mc:Choice>
  </mc:AlternateContent>
  <xr:revisionPtr revIDLastSave="0" documentId="13_ncr:1_{2D61EC80-9703-4520-8FF2-32DE071A56FA}" xr6:coauthVersionLast="47" xr6:coauthVersionMax="47" xr10:uidLastSave="{00000000-0000-0000-0000-000000000000}"/>
  <bookViews>
    <workbookView xWindow="6108" yWindow="3000" windowWidth="17280" windowHeight="8880" xr2:uid="{F50B9DA2-A1AF-4F00-B855-7539A8250C43}"/>
  </bookViews>
  <sheets>
    <sheet name="Stock Prices" sheetId="4" r:id="rId1"/>
    <sheet name="XLSTAT_20211005_171642_1_HID" sheetId="43" state="hidden" r:id="rId2"/>
    <sheet name="XLSTAT_20211005_171523_1_HID" sheetId="41" state="hidden" r:id="rId3"/>
    <sheet name="XLSTAT_20211005_171239_1_HID" sheetId="39" state="hidden" r:id="rId4"/>
    <sheet name="Index Prices" sheetId="53" r:id="rId5"/>
    <sheet name="Risk-free rate" sheetId="54" r:id="rId6"/>
    <sheet name="FF factors" sheetId="55" r:id="rId7"/>
    <sheet name="ANCOVA" sheetId="48" r:id="rId8"/>
    <sheet name="Logit" sheetId="3" r:id="rId9"/>
    <sheet name="Panel" sheetId="1" r:id="rId10"/>
    <sheet name="AR(1)" sheetId="57" r:id="rId11"/>
    <sheet name="XLSTAT_20211005_173753_1_HID" sheetId="47" state="hidden" r:id="rId12"/>
    <sheet name="XLSTAT_20211005_173510_1_HID" sheetId="45" state="hidden" r:id="rId13"/>
    <sheet name="XLSTAT_20211005_102709_1_HID" sheetId="36" state="hidden" r:id="rId14"/>
    <sheet name="XLSTAT_20211005_102144_1_HID" sheetId="30" state="hidden" r:id="rId15"/>
    <sheet name="XLSTAT_20211005_102028_1_HID" sheetId="28" state="hidden" r:id="rId16"/>
    <sheet name="XLSTAT_20211005_101545_1_HID" sheetId="26" state="hidden" r:id="rId17"/>
  </sheets>
  <externalReferences>
    <externalReference r:id="rId18"/>
  </externalReferences>
  <definedNames>
    <definedName name="xdata1" localSheetId="16" hidden="1">XLSTAT_20211005_101545_1_HID!$C$1:$C$70</definedName>
    <definedName name="xdata1" localSheetId="15" hidden="1">XLSTAT_20211005_102028_1_HID!$C$1:$C$70</definedName>
    <definedName name="xdata1" localSheetId="14" hidden="1">XLSTAT_20211005_102144_1_HID!$C$1:$C$70</definedName>
    <definedName name="xdata1" localSheetId="13" hidden="1">XLSTAT_20211005_102709_1_HID!$C$1:$C$70</definedName>
    <definedName name="xdata1" localSheetId="3" hidden="1">XLSTAT_20211005_171239_1_HID!$C$1:$C$70</definedName>
    <definedName name="xdata1" localSheetId="2" hidden="1">XLSTAT_20211005_171523_1_HID!$C$1:$C$70</definedName>
    <definedName name="xdata1" localSheetId="1" hidden="1">XLSTAT_20211005_171642_1_HID!$C$1:$C$70</definedName>
    <definedName name="xdata1" hidden="1">792.294+(ROW(OFFSET(#REF!,0,0,70,1))-1)*58.9784347826087</definedName>
    <definedName name="xdata2" localSheetId="16" hidden="1">XLSTAT_20211005_101545_1_HID!$G$1:$G$70</definedName>
    <definedName name="xdata2" localSheetId="15" hidden="1">XLSTAT_20211005_102028_1_HID!$G$1:$G$70</definedName>
    <definedName name="xdata2" localSheetId="14" hidden="1">XLSTAT_20211005_102144_1_HID!$G$1:$G$70</definedName>
    <definedName name="xdata2" localSheetId="13" hidden="1">XLSTAT_20211005_102709_1_HID!$G$1:$G$70</definedName>
    <definedName name="xdata2" localSheetId="3" hidden="1">XLSTAT_20211005_171239_1_HID!$G$1:$G$70</definedName>
    <definedName name="xdata2" localSheetId="2" hidden="1">XLSTAT_20211005_171523_1_HID!$G$1:$G$70</definedName>
    <definedName name="xdata2" localSheetId="1" hidden="1">XLSTAT_20211005_171642_1_HID!$G$1:$G$70</definedName>
    <definedName name="xdata2" hidden="1">792.294+(ROW(OFFSET(#REF!,0,0,100,1))-1)*41.1061818181818</definedName>
    <definedName name="xdata3" hidden="1">-29.4709761829932+(ROW(OFFSET(#REF!,0,0,70,1))-1)*5.12552497405245</definedName>
    <definedName name="xdata4" hidden="1">-21.5361168639681+(ROW(OFFSET(#REF!,0,0,70,1))-1)*5.01052701290716</definedName>
    <definedName name="ydata1" localSheetId="16" hidden="1">XLSTAT_20211005_101545_1_HID!$D$1:$D$70</definedName>
    <definedName name="ydata1" localSheetId="15" hidden="1">XLSTAT_20211005_102028_1_HID!$D$1:$D$70</definedName>
    <definedName name="ydata1" localSheetId="14" hidden="1">XLSTAT_20211005_102144_1_HID!$D$1:$D$70</definedName>
    <definedName name="ydata1" localSheetId="13" hidden="1">XLSTAT_20211005_102709_1_HID!$D$1:$D$70</definedName>
    <definedName name="ydata1" localSheetId="3" hidden="1">XLSTAT_20211005_171239_1_HID!$D$1:$D$70</definedName>
    <definedName name="ydata1" localSheetId="2" hidden="1">XLSTAT_20211005_171523_1_HID!$D$1:$D$70</definedName>
    <definedName name="ydata1" localSheetId="1" hidden="1">XLSTAT_20211005_171642_1_HID!$D$1:$D$70</definedName>
    <definedName name="ydata1" hidden="1">-114.06682037286+0.0849552388322222*[1]!xdata1-42.7452684009135*(0.00769230769230769+([1]!xdata1-2309.53476923077)^2/83550902.0030431)^0.5</definedName>
    <definedName name="ydata2" localSheetId="16" hidden="1">XLSTAT_20211005_101545_1_HID!$H$1:$H$70</definedName>
    <definedName name="ydata2" localSheetId="15" hidden="1">XLSTAT_20211005_102028_1_HID!$H$1:$H$70</definedName>
    <definedName name="ydata2" localSheetId="14" hidden="1">XLSTAT_20211005_102144_1_HID!$H$1:$H$70</definedName>
    <definedName name="ydata2" localSheetId="13" hidden="1">XLSTAT_20211005_102709_1_HID!$H$1:$H$70</definedName>
    <definedName name="ydata2" localSheetId="3" hidden="1">XLSTAT_20211005_171239_1_HID!$H$1:$H$70</definedName>
    <definedName name="ydata2" localSheetId="2" hidden="1">XLSTAT_20211005_171523_1_HID!$H$1:$H$70</definedName>
    <definedName name="ydata2" localSheetId="1" hidden="1">XLSTAT_20211005_171642_1_HID!$H$1:$H$70</definedName>
    <definedName name="ydata2" hidden="1">-114.06682037286+0.0849552388322222*[1]!xdata1+42.7452684009135*(0.00769230769230769+([1]!xdata1-2309.53476923077)^2/83550902.0030431)^0.5</definedName>
    <definedName name="ydata3" hidden="1">-114.06682037286+0.0849552388322222*[1]!xdata2-42.7452684009135*(1.00769230769231+([1]!xdata2-2309.53476923077)^2/83550902.0030431)^0.5</definedName>
    <definedName name="ydata4" hidden="1">-114.06682037286+0.0849552388322222*[1]!xdata2+42.7452684009135*(1.00769230769231+([1]!xdata2-2309.53476923077)^2/83550902.0030431)^0.5</definedName>
    <definedName name="ydata5" hidden="1">0+1*[1]!xdata3-42.7452684009135*(1.00769230769231+([1]!xdata3-82.1402575384616)^2/603019.662261177)^0.5</definedName>
    <definedName name="ydata6" hidden="1">0+1*[1]!xdata4+42.7452684009135*(1.00769230769231+([1]!xdata4-82.1402575384616)^2/603019.662261177)^0.5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" i="43" l="1"/>
  <c r="H2" i="43"/>
  <c r="H3" i="43"/>
  <c r="H4" i="43"/>
  <c r="H5" i="43"/>
  <c r="H6" i="43"/>
  <c r="H7" i="43"/>
  <c r="H8" i="43"/>
  <c r="H9" i="43"/>
  <c r="H10" i="43"/>
  <c r="H11" i="43"/>
  <c r="H12" i="43"/>
  <c r="H13" i="43"/>
  <c r="H14" i="43"/>
  <c r="H15" i="43"/>
  <c r="H16" i="43"/>
  <c r="H17" i="43"/>
  <c r="H18" i="43"/>
  <c r="H19" i="43"/>
  <c r="H20" i="43"/>
  <c r="H21" i="43"/>
  <c r="H22" i="43"/>
  <c r="H23" i="43"/>
  <c r="H24" i="43"/>
  <c r="H25" i="43"/>
  <c r="H26" i="43"/>
  <c r="H27" i="43"/>
  <c r="H28" i="43"/>
  <c r="H29" i="43"/>
  <c r="H30" i="43"/>
  <c r="H31" i="43"/>
  <c r="H32" i="43"/>
  <c r="H33" i="43"/>
  <c r="H34" i="43"/>
  <c r="H35" i="43"/>
  <c r="H36" i="43"/>
  <c r="H37" i="43"/>
  <c r="H38" i="43"/>
  <c r="H39" i="43"/>
  <c r="H40" i="43"/>
  <c r="H41" i="43"/>
  <c r="H42" i="43"/>
  <c r="H43" i="43"/>
  <c r="H44" i="43"/>
  <c r="H45" i="43"/>
  <c r="H46" i="43"/>
  <c r="H47" i="43"/>
  <c r="H48" i="43"/>
  <c r="H49" i="43"/>
  <c r="H50" i="43"/>
  <c r="H51" i="43"/>
  <c r="H52" i="43"/>
  <c r="H53" i="43"/>
  <c r="H54" i="43"/>
  <c r="H55" i="43"/>
  <c r="H56" i="43"/>
  <c r="H57" i="43"/>
  <c r="H58" i="43"/>
  <c r="H59" i="43"/>
  <c r="H60" i="43"/>
  <c r="H61" i="43"/>
  <c r="H62" i="43"/>
  <c r="H63" i="43"/>
  <c r="H64" i="43"/>
  <c r="H65" i="43"/>
  <c r="H66" i="43"/>
  <c r="H67" i="43"/>
  <c r="H68" i="43"/>
  <c r="H69" i="43"/>
  <c r="H70" i="43"/>
  <c r="G1" i="43"/>
  <c r="G2" i="43"/>
  <c r="G3" i="43"/>
  <c r="G4" i="43"/>
  <c r="G5" i="43"/>
  <c r="G6" i="43"/>
  <c r="G7" i="43"/>
  <c r="G8" i="43"/>
  <c r="G9" i="43"/>
  <c r="G10" i="43"/>
  <c r="G11" i="43"/>
  <c r="G12" i="43"/>
  <c r="G13" i="43"/>
  <c r="G14" i="43"/>
  <c r="G15" i="43"/>
  <c r="G16" i="43"/>
  <c r="G17" i="43"/>
  <c r="G18" i="43"/>
  <c r="G19" i="43"/>
  <c r="G20" i="43"/>
  <c r="G21" i="43"/>
  <c r="G22" i="43"/>
  <c r="G23" i="43"/>
  <c r="G24" i="43"/>
  <c r="G25" i="43"/>
  <c r="G26" i="43"/>
  <c r="G27" i="43"/>
  <c r="G28" i="43"/>
  <c r="G29" i="43"/>
  <c r="G30" i="43"/>
  <c r="G31" i="43"/>
  <c r="G32" i="43"/>
  <c r="G33" i="43"/>
  <c r="G34" i="43"/>
  <c r="G35" i="43"/>
  <c r="G36" i="43"/>
  <c r="G37" i="43"/>
  <c r="G38" i="43"/>
  <c r="G39" i="43"/>
  <c r="G40" i="43"/>
  <c r="G41" i="43"/>
  <c r="G42" i="43"/>
  <c r="G43" i="43"/>
  <c r="G44" i="43"/>
  <c r="G45" i="43"/>
  <c r="G46" i="43"/>
  <c r="G47" i="43"/>
  <c r="G48" i="43"/>
  <c r="G49" i="43"/>
  <c r="G50" i="43"/>
  <c r="G51" i="43"/>
  <c r="G52" i="43"/>
  <c r="G53" i="43"/>
  <c r="G54" i="43"/>
  <c r="G55" i="43"/>
  <c r="G56" i="43"/>
  <c r="G57" i="43"/>
  <c r="G58" i="43"/>
  <c r="G59" i="43"/>
  <c r="G60" i="43"/>
  <c r="G61" i="43"/>
  <c r="G62" i="43"/>
  <c r="G63" i="43"/>
  <c r="G64" i="43"/>
  <c r="G65" i="43"/>
  <c r="G66" i="43"/>
  <c r="G67" i="43"/>
  <c r="G68" i="43"/>
  <c r="G69" i="43"/>
  <c r="G70" i="43"/>
  <c r="D1" i="43"/>
  <c r="D2" i="43"/>
  <c r="D3" i="43"/>
  <c r="D4" i="43"/>
  <c r="D5" i="43"/>
  <c r="D6" i="43"/>
  <c r="D7" i="43"/>
  <c r="D8" i="43"/>
  <c r="D9" i="43"/>
  <c r="D10" i="43"/>
  <c r="D11" i="43"/>
  <c r="D12" i="43"/>
  <c r="D13" i="43"/>
  <c r="D14" i="43"/>
  <c r="D15" i="43"/>
  <c r="D16" i="43"/>
  <c r="D17" i="43"/>
  <c r="D18" i="43"/>
  <c r="D19" i="43"/>
  <c r="D20" i="43"/>
  <c r="D21" i="43"/>
  <c r="D22" i="43"/>
  <c r="D23" i="43"/>
  <c r="D24" i="43"/>
  <c r="D25" i="43"/>
  <c r="D26" i="43"/>
  <c r="D27" i="43"/>
  <c r="D28" i="43"/>
  <c r="D29" i="43"/>
  <c r="D30" i="43"/>
  <c r="D31" i="43"/>
  <c r="D32" i="43"/>
  <c r="D33" i="43"/>
  <c r="D34" i="43"/>
  <c r="D35" i="43"/>
  <c r="D36" i="43"/>
  <c r="D37" i="43"/>
  <c r="D38" i="43"/>
  <c r="D39" i="43"/>
  <c r="D40" i="43"/>
  <c r="D41" i="43"/>
  <c r="D42" i="43"/>
  <c r="D43" i="43"/>
  <c r="D44" i="43"/>
  <c r="D45" i="43"/>
  <c r="D46" i="43"/>
  <c r="D47" i="43"/>
  <c r="D48" i="43"/>
  <c r="D49" i="43"/>
  <c r="D50" i="43"/>
  <c r="D51" i="43"/>
  <c r="D52" i="43"/>
  <c r="D53" i="43"/>
  <c r="D54" i="43"/>
  <c r="D55" i="43"/>
  <c r="D56" i="43"/>
  <c r="D57" i="43"/>
  <c r="D58" i="43"/>
  <c r="D59" i="43"/>
  <c r="D60" i="43"/>
  <c r="D61" i="43"/>
  <c r="D62" i="43"/>
  <c r="D63" i="43"/>
  <c r="D64" i="43"/>
  <c r="D65" i="43"/>
  <c r="D66" i="43"/>
  <c r="D67" i="43"/>
  <c r="D68" i="43"/>
  <c r="D69" i="43"/>
  <c r="D70" i="43"/>
  <c r="C1" i="43"/>
  <c r="C2" i="43"/>
  <c r="C3" i="43"/>
  <c r="C4" i="43"/>
  <c r="C5" i="43"/>
  <c r="C6" i="43"/>
  <c r="C7" i="43"/>
  <c r="C8" i="43"/>
  <c r="C9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C30" i="43"/>
  <c r="C31" i="43"/>
  <c r="C32" i="43"/>
  <c r="C33" i="43"/>
  <c r="C34" i="43"/>
  <c r="C35" i="43"/>
  <c r="C36" i="43"/>
  <c r="C37" i="43"/>
  <c r="C38" i="43"/>
  <c r="C39" i="43"/>
  <c r="C40" i="43"/>
  <c r="C41" i="43"/>
  <c r="C42" i="43"/>
  <c r="C43" i="43"/>
  <c r="C44" i="43"/>
  <c r="C45" i="43"/>
  <c r="C46" i="43"/>
  <c r="C47" i="43"/>
  <c r="C48" i="43"/>
  <c r="C49" i="43"/>
  <c r="C50" i="43"/>
  <c r="C51" i="43"/>
  <c r="C52" i="43"/>
  <c r="C53" i="43"/>
  <c r="C54" i="43"/>
  <c r="C55" i="43"/>
  <c r="C56" i="43"/>
  <c r="C57" i="43"/>
  <c r="C58" i="43"/>
  <c r="C59" i="43"/>
  <c r="C60" i="43"/>
  <c r="C61" i="43"/>
  <c r="C62" i="43"/>
  <c r="C63" i="43"/>
  <c r="C64" i="43"/>
  <c r="C65" i="43"/>
  <c r="C66" i="43"/>
  <c r="C67" i="43"/>
  <c r="C68" i="43"/>
  <c r="C69" i="43"/>
  <c r="C70" i="43"/>
  <c r="H1" i="41"/>
  <c r="H2" i="41"/>
  <c r="H3" i="41"/>
  <c r="H4" i="41"/>
  <c r="H5" i="41"/>
  <c r="H6" i="41"/>
  <c r="H7" i="41"/>
  <c r="H8" i="41"/>
  <c r="H9" i="41"/>
  <c r="H10" i="41"/>
  <c r="H11" i="41"/>
  <c r="H12" i="41"/>
  <c r="H13" i="41"/>
  <c r="H14" i="41"/>
  <c r="H15" i="41"/>
  <c r="H16" i="41"/>
  <c r="H17" i="41"/>
  <c r="H18" i="41"/>
  <c r="H19" i="41"/>
  <c r="H20" i="41"/>
  <c r="H21" i="41"/>
  <c r="H22" i="41"/>
  <c r="H23" i="41"/>
  <c r="H24" i="41"/>
  <c r="H25" i="41"/>
  <c r="H26" i="41"/>
  <c r="H27" i="41"/>
  <c r="H28" i="41"/>
  <c r="H29" i="41"/>
  <c r="H30" i="41"/>
  <c r="H31" i="41"/>
  <c r="H32" i="41"/>
  <c r="H33" i="41"/>
  <c r="H34" i="41"/>
  <c r="H35" i="41"/>
  <c r="H36" i="41"/>
  <c r="H37" i="41"/>
  <c r="H38" i="41"/>
  <c r="H39" i="41"/>
  <c r="H40" i="41"/>
  <c r="H41" i="41"/>
  <c r="H42" i="41"/>
  <c r="H43" i="41"/>
  <c r="H44" i="41"/>
  <c r="H45" i="41"/>
  <c r="H46" i="41"/>
  <c r="H47" i="41"/>
  <c r="H48" i="41"/>
  <c r="H49" i="41"/>
  <c r="H50" i="41"/>
  <c r="H51" i="41"/>
  <c r="H52" i="41"/>
  <c r="H53" i="41"/>
  <c r="H54" i="41"/>
  <c r="H55" i="41"/>
  <c r="H56" i="41"/>
  <c r="H57" i="41"/>
  <c r="H58" i="41"/>
  <c r="H59" i="41"/>
  <c r="H60" i="41"/>
  <c r="H61" i="41"/>
  <c r="H62" i="41"/>
  <c r="H63" i="41"/>
  <c r="H64" i="41"/>
  <c r="H65" i="41"/>
  <c r="H66" i="41"/>
  <c r="H67" i="41"/>
  <c r="H68" i="41"/>
  <c r="H69" i="41"/>
  <c r="H70" i="41"/>
  <c r="G1" i="41"/>
  <c r="G2" i="41"/>
  <c r="G3" i="41"/>
  <c r="G4" i="41"/>
  <c r="G5" i="41"/>
  <c r="G6" i="41"/>
  <c r="G7" i="41"/>
  <c r="G8" i="41"/>
  <c r="G9" i="41"/>
  <c r="G10" i="41"/>
  <c r="G11" i="41"/>
  <c r="G12" i="41"/>
  <c r="G13" i="41"/>
  <c r="G14" i="41"/>
  <c r="G15" i="41"/>
  <c r="G16" i="41"/>
  <c r="G17" i="41"/>
  <c r="G18" i="41"/>
  <c r="G19" i="41"/>
  <c r="G20" i="41"/>
  <c r="G21" i="41"/>
  <c r="G22" i="41"/>
  <c r="G23" i="41"/>
  <c r="G24" i="41"/>
  <c r="G25" i="41"/>
  <c r="G26" i="41"/>
  <c r="G27" i="41"/>
  <c r="G28" i="41"/>
  <c r="G29" i="41"/>
  <c r="G30" i="41"/>
  <c r="G31" i="41"/>
  <c r="G32" i="41"/>
  <c r="G33" i="41"/>
  <c r="G34" i="41"/>
  <c r="G35" i="41"/>
  <c r="G36" i="41"/>
  <c r="G37" i="41"/>
  <c r="G38" i="41"/>
  <c r="G39" i="41"/>
  <c r="G40" i="41"/>
  <c r="G41" i="41"/>
  <c r="G42" i="41"/>
  <c r="G43" i="41"/>
  <c r="G44" i="41"/>
  <c r="G45" i="41"/>
  <c r="G46" i="41"/>
  <c r="G47" i="41"/>
  <c r="G48" i="41"/>
  <c r="G49" i="41"/>
  <c r="G50" i="41"/>
  <c r="G51" i="41"/>
  <c r="G52" i="41"/>
  <c r="G53" i="41"/>
  <c r="G54" i="41"/>
  <c r="G55" i="41"/>
  <c r="G56" i="41"/>
  <c r="G57" i="41"/>
  <c r="G58" i="41"/>
  <c r="G59" i="41"/>
  <c r="G60" i="41"/>
  <c r="G61" i="41"/>
  <c r="G62" i="41"/>
  <c r="G63" i="41"/>
  <c r="G64" i="41"/>
  <c r="G65" i="41"/>
  <c r="G66" i="41"/>
  <c r="G67" i="41"/>
  <c r="G68" i="41"/>
  <c r="G69" i="41"/>
  <c r="G70" i="41"/>
  <c r="D1" i="41"/>
  <c r="D2" i="41"/>
  <c r="D3" i="41"/>
  <c r="D4" i="41"/>
  <c r="D5" i="41"/>
  <c r="D6" i="41"/>
  <c r="D7" i="41"/>
  <c r="D8" i="41"/>
  <c r="D9" i="41"/>
  <c r="D10" i="41"/>
  <c r="D11" i="41"/>
  <c r="D12" i="41"/>
  <c r="D13" i="41"/>
  <c r="D14" i="41"/>
  <c r="D15" i="41"/>
  <c r="D16" i="41"/>
  <c r="D17" i="41"/>
  <c r="D18" i="41"/>
  <c r="D19" i="41"/>
  <c r="D20" i="41"/>
  <c r="D21" i="41"/>
  <c r="D22" i="41"/>
  <c r="D23" i="41"/>
  <c r="D24" i="41"/>
  <c r="D25" i="41"/>
  <c r="D26" i="41"/>
  <c r="D27" i="41"/>
  <c r="D28" i="41"/>
  <c r="D29" i="41"/>
  <c r="D30" i="41"/>
  <c r="D31" i="41"/>
  <c r="D32" i="41"/>
  <c r="D33" i="41"/>
  <c r="D34" i="41"/>
  <c r="D35" i="41"/>
  <c r="D36" i="41"/>
  <c r="D37" i="41"/>
  <c r="D38" i="41"/>
  <c r="D39" i="41"/>
  <c r="D40" i="41"/>
  <c r="D41" i="41"/>
  <c r="D42" i="41"/>
  <c r="D43" i="41"/>
  <c r="D44" i="41"/>
  <c r="D45" i="41"/>
  <c r="D46" i="41"/>
  <c r="D47" i="41"/>
  <c r="D48" i="41"/>
  <c r="D49" i="41"/>
  <c r="D50" i="41"/>
  <c r="D51" i="41"/>
  <c r="D52" i="41"/>
  <c r="D53" i="41"/>
  <c r="D54" i="41"/>
  <c r="D55" i="41"/>
  <c r="D56" i="41"/>
  <c r="D57" i="41"/>
  <c r="D58" i="41"/>
  <c r="D59" i="41"/>
  <c r="D60" i="41"/>
  <c r="D61" i="41"/>
  <c r="D62" i="41"/>
  <c r="D63" i="41"/>
  <c r="D64" i="41"/>
  <c r="D65" i="41"/>
  <c r="D66" i="41"/>
  <c r="D67" i="41"/>
  <c r="D68" i="41"/>
  <c r="D69" i="41"/>
  <c r="D70" i="41"/>
  <c r="C1" i="41"/>
  <c r="C2" i="41"/>
  <c r="C3" i="41"/>
  <c r="C4" i="41"/>
  <c r="C5" i="41"/>
  <c r="C6" i="41"/>
  <c r="C7" i="41"/>
  <c r="C8" i="41"/>
  <c r="C9" i="41"/>
  <c r="C10" i="41"/>
  <c r="C11" i="41"/>
  <c r="C12" i="41"/>
  <c r="C13" i="41"/>
  <c r="C14" i="41"/>
  <c r="C15" i="41"/>
  <c r="C16" i="41"/>
  <c r="C17" i="41"/>
  <c r="C18" i="41"/>
  <c r="C19" i="41"/>
  <c r="C20" i="41"/>
  <c r="C21" i="41"/>
  <c r="C22" i="41"/>
  <c r="C23" i="41"/>
  <c r="C24" i="41"/>
  <c r="C25" i="41"/>
  <c r="C26" i="41"/>
  <c r="C27" i="41"/>
  <c r="C28" i="41"/>
  <c r="C29" i="41"/>
  <c r="C30" i="41"/>
  <c r="C31" i="41"/>
  <c r="C32" i="41"/>
  <c r="C33" i="41"/>
  <c r="C34" i="41"/>
  <c r="C35" i="41"/>
  <c r="C36" i="41"/>
  <c r="C37" i="41"/>
  <c r="C38" i="41"/>
  <c r="C39" i="41"/>
  <c r="C40" i="41"/>
  <c r="C41" i="41"/>
  <c r="C42" i="41"/>
  <c r="C43" i="41"/>
  <c r="C44" i="41"/>
  <c r="C45" i="41"/>
  <c r="C46" i="41"/>
  <c r="C47" i="41"/>
  <c r="C48" i="41"/>
  <c r="C49" i="41"/>
  <c r="C50" i="41"/>
  <c r="C51" i="41"/>
  <c r="C52" i="41"/>
  <c r="C53" i="41"/>
  <c r="C54" i="41"/>
  <c r="C55" i="41"/>
  <c r="C56" i="41"/>
  <c r="C57" i="41"/>
  <c r="C58" i="41"/>
  <c r="C59" i="41"/>
  <c r="C60" i="41"/>
  <c r="C61" i="41"/>
  <c r="C62" i="41"/>
  <c r="C63" i="41"/>
  <c r="C64" i="41"/>
  <c r="C65" i="41"/>
  <c r="C66" i="41"/>
  <c r="C67" i="41"/>
  <c r="C68" i="41"/>
  <c r="C69" i="41"/>
  <c r="C70" i="41"/>
  <c r="H1" i="39"/>
  <c r="H2" i="39"/>
  <c r="H3" i="39"/>
  <c r="H4" i="39"/>
  <c r="H5" i="39"/>
  <c r="H6" i="39"/>
  <c r="H7" i="39"/>
  <c r="H8" i="39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H31" i="39"/>
  <c r="H32" i="39"/>
  <c r="H33" i="39"/>
  <c r="H34" i="39"/>
  <c r="H35" i="39"/>
  <c r="H36" i="39"/>
  <c r="H37" i="39"/>
  <c r="H38" i="39"/>
  <c r="H39" i="39"/>
  <c r="H40" i="39"/>
  <c r="H41" i="39"/>
  <c r="H42" i="39"/>
  <c r="H43" i="39"/>
  <c r="H44" i="39"/>
  <c r="H45" i="39"/>
  <c r="H46" i="39"/>
  <c r="H47" i="39"/>
  <c r="H48" i="39"/>
  <c r="H49" i="39"/>
  <c r="H50" i="39"/>
  <c r="H51" i="39"/>
  <c r="H52" i="39"/>
  <c r="H53" i="39"/>
  <c r="H54" i="39"/>
  <c r="H55" i="39"/>
  <c r="H56" i="39"/>
  <c r="H57" i="39"/>
  <c r="H58" i="39"/>
  <c r="H59" i="39"/>
  <c r="H60" i="39"/>
  <c r="H61" i="39"/>
  <c r="H62" i="39"/>
  <c r="H63" i="39"/>
  <c r="H64" i="39"/>
  <c r="H65" i="39"/>
  <c r="H66" i="39"/>
  <c r="H67" i="39"/>
  <c r="H68" i="39"/>
  <c r="H69" i="39"/>
  <c r="H70" i="39"/>
  <c r="G1" i="39"/>
  <c r="G2" i="39"/>
  <c r="G3" i="39"/>
  <c r="G4" i="39"/>
  <c r="G5" i="39"/>
  <c r="G6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24" i="39"/>
  <c r="G25" i="39"/>
  <c r="G26" i="39"/>
  <c r="G27" i="39"/>
  <c r="G28" i="39"/>
  <c r="G29" i="39"/>
  <c r="G30" i="39"/>
  <c r="G31" i="39"/>
  <c r="G32" i="39"/>
  <c r="G33" i="39"/>
  <c r="G34" i="39"/>
  <c r="G35" i="39"/>
  <c r="G36" i="39"/>
  <c r="G37" i="39"/>
  <c r="G38" i="39"/>
  <c r="G39" i="39"/>
  <c r="G40" i="39"/>
  <c r="G41" i="39"/>
  <c r="G42" i="39"/>
  <c r="G43" i="39"/>
  <c r="G44" i="39"/>
  <c r="G45" i="39"/>
  <c r="G46" i="39"/>
  <c r="G47" i="39"/>
  <c r="G48" i="39"/>
  <c r="G49" i="39"/>
  <c r="G50" i="39"/>
  <c r="G51" i="39"/>
  <c r="G52" i="39"/>
  <c r="G53" i="39"/>
  <c r="G54" i="39"/>
  <c r="G55" i="39"/>
  <c r="G56" i="39"/>
  <c r="G57" i="39"/>
  <c r="G58" i="39"/>
  <c r="G59" i="39"/>
  <c r="G60" i="39"/>
  <c r="G61" i="39"/>
  <c r="G62" i="39"/>
  <c r="G63" i="39"/>
  <c r="G64" i="39"/>
  <c r="G65" i="39"/>
  <c r="G66" i="39"/>
  <c r="G67" i="39"/>
  <c r="G68" i="39"/>
  <c r="G69" i="39"/>
  <c r="G70" i="39"/>
  <c r="D1" i="39"/>
  <c r="D2" i="39"/>
  <c r="D3" i="39"/>
  <c r="D4" i="39"/>
  <c r="D5" i="39"/>
  <c r="D6" i="39"/>
  <c r="D7" i="39"/>
  <c r="D8" i="39"/>
  <c r="D9" i="39"/>
  <c r="D10" i="39"/>
  <c r="D11" i="39"/>
  <c r="D12" i="39"/>
  <c r="D13" i="39"/>
  <c r="D14" i="39"/>
  <c r="D15" i="39"/>
  <c r="D16" i="39"/>
  <c r="D17" i="39"/>
  <c r="D18" i="39"/>
  <c r="D19" i="39"/>
  <c r="D20" i="39"/>
  <c r="D21" i="39"/>
  <c r="D22" i="39"/>
  <c r="D23" i="39"/>
  <c r="D24" i="39"/>
  <c r="D25" i="39"/>
  <c r="D26" i="39"/>
  <c r="D27" i="39"/>
  <c r="D28" i="39"/>
  <c r="D29" i="39"/>
  <c r="D30" i="39"/>
  <c r="D31" i="39"/>
  <c r="D32" i="39"/>
  <c r="D33" i="39"/>
  <c r="D34" i="39"/>
  <c r="D35" i="39"/>
  <c r="D36" i="39"/>
  <c r="D37" i="39"/>
  <c r="D38" i="39"/>
  <c r="D39" i="39"/>
  <c r="D40" i="39"/>
  <c r="D41" i="39"/>
  <c r="D42" i="39"/>
  <c r="D43" i="39"/>
  <c r="D44" i="39"/>
  <c r="D45" i="39"/>
  <c r="D46" i="39"/>
  <c r="D47" i="39"/>
  <c r="D48" i="39"/>
  <c r="D49" i="39"/>
  <c r="D50" i="39"/>
  <c r="D51" i="39"/>
  <c r="D52" i="39"/>
  <c r="D53" i="39"/>
  <c r="D54" i="39"/>
  <c r="D55" i="39"/>
  <c r="D56" i="39"/>
  <c r="D57" i="39"/>
  <c r="D58" i="39"/>
  <c r="D59" i="39"/>
  <c r="D60" i="39"/>
  <c r="D61" i="39"/>
  <c r="D62" i="39"/>
  <c r="D63" i="39"/>
  <c r="D64" i="39"/>
  <c r="D65" i="39"/>
  <c r="D66" i="39"/>
  <c r="D67" i="39"/>
  <c r="D68" i="39"/>
  <c r="D69" i="39"/>
  <c r="D70" i="39"/>
  <c r="C1" i="39"/>
  <c r="C2" i="39"/>
  <c r="C3" i="39"/>
  <c r="C4" i="39"/>
  <c r="C5" i="39"/>
  <c r="C6" i="39"/>
  <c r="C7" i="39"/>
  <c r="C8" i="39"/>
  <c r="C9" i="39"/>
  <c r="C10" i="39"/>
  <c r="C11" i="39"/>
  <c r="C12" i="39"/>
  <c r="C13" i="39"/>
  <c r="C14" i="39"/>
  <c r="C15" i="39"/>
  <c r="C16" i="39"/>
  <c r="C17" i="39"/>
  <c r="C18" i="39"/>
  <c r="C19" i="39"/>
  <c r="C20" i="39"/>
  <c r="C21" i="39"/>
  <c r="C22" i="39"/>
  <c r="C23" i="39"/>
  <c r="C24" i="39"/>
  <c r="C25" i="39"/>
  <c r="C26" i="39"/>
  <c r="C27" i="39"/>
  <c r="C28" i="39"/>
  <c r="C29" i="39"/>
  <c r="C30" i="39"/>
  <c r="C31" i="39"/>
  <c r="C32" i="39"/>
  <c r="C33" i="39"/>
  <c r="C34" i="39"/>
  <c r="C35" i="39"/>
  <c r="C36" i="39"/>
  <c r="C37" i="39"/>
  <c r="C38" i="39"/>
  <c r="C39" i="39"/>
  <c r="C40" i="39"/>
  <c r="C41" i="39"/>
  <c r="C42" i="39"/>
  <c r="C43" i="39"/>
  <c r="C44" i="39"/>
  <c r="C45" i="39"/>
  <c r="C46" i="39"/>
  <c r="C47" i="39"/>
  <c r="C48" i="39"/>
  <c r="C49" i="39"/>
  <c r="C50" i="39"/>
  <c r="C51" i="39"/>
  <c r="C52" i="39"/>
  <c r="C53" i="39"/>
  <c r="C54" i="39"/>
  <c r="C55" i="39"/>
  <c r="C56" i="39"/>
  <c r="C57" i="39"/>
  <c r="C58" i="39"/>
  <c r="C59" i="39"/>
  <c r="C60" i="39"/>
  <c r="C61" i="39"/>
  <c r="C62" i="39"/>
  <c r="C63" i="39"/>
  <c r="C64" i="39"/>
  <c r="C65" i="39"/>
  <c r="C66" i="39"/>
  <c r="C67" i="39"/>
  <c r="C68" i="39"/>
  <c r="C69" i="39"/>
  <c r="C70" i="39"/>
  <c r="H1" i="36"/>
  <c r="H2" i="36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G1" i="36"/>
  <c r="G2" i="36"/>
  <c r="G3" i="36"/>
  <c r="G4" i="36"/>
  <c r="G5" i="36"/>
  <c r="G6" i="36"/>
  <c r="G7" i="36"/>
  <c r="G8" i="36"/>
  <c r="G9" i="36"/>
  <c r="G10" i="36"/>
  <c r="G11" i="36"/>
  <c r="G12" i="36"/>
  <c r="G13" i="36"/>
  <c r="G14" i="36"/>
  <c r="G15" i="36"/>
  <c r="G16" i="36"/>
  <c r="G17" i="36"/>
  <c r="G18" i="36"/>
  <c r="G19" i="36"/>
  <c r="G20" i="36"/>
  <c r="G21" i="36"/>
  <c r="G22" i="36"/>
  <c r="G23" i="36"/>
  <c r="G24" i="36"/>
  <c r="G25" i="36"/>
  <c r="G26" i="36"/>
  <c r="G27" i="36"/>
  <c r="G28" i="36"/>
  <c r="G29" i="36"/>
  <c r="G30" i="36"/>
  <c r="G31" i="36"/>
  <c r="G32" i="36"/>
  <c r="G33" i="36"/>
  <c r="G34" i="36"/>
  <c r="G35" i="36"/>
  <c r="G36" i="36"/>
  <c r="G37" i="36"/>
  <c r="G38" i="36"/>
  <c r="G39" i="36"/>
  <c r="G40" i="36"/>
  <c r="G41" i="36"/>
  <c r="G42" i="36"/>
  <c r="G43" i="36"/>
  <c r="G44" i="36"/>
  <c r="G45" i="36"/>
  <c r="G46" i="36"/>
  <c r="G47" i="36"/>
  <c r="G48" i="36"/>
  <c r="G49" i="36"/>
  <c r="G50" i="36"/>
  <c r="G51" i="36"/>
  <c r="G52" i="36"/>
  <c r="G53" i="36"/>
  <c r="G54" i="36"/>
  <c r="G55" i="36"/>
  <c r="G56" i="36"/>
  <c r="G57" i="36"/>
  <c r="G58" i="36"/>
  <c r="G59" i="36"/>
  <c r="G60" i="36"/>
  <c r="G61" i="36"/>
  <c r="G62" i="36"/>
  <c r="G63" i="36"/>
  <c r="G64" i="36"/>
  <c r="G65" i="36"/>
  <c r="G66" i="36"/>
  <c r="G67" i="36"/>
  <c r="G68" i="36"/>
  <c r="G69" i="36"/>
  <c r="G70" i="36"/>
  <c r="D1" i="36"/>
  <c r="D2" i="36"/>
  <c r="D3" i="36"/>
  <c r="D4" i="36"/>
  <c r="D5" i="36"/>
  <c r="D6" i="36"/>
  <c r="D7" i="36"/>
  <c r="D8" i="36"/>
  <c r="D9" i="36"/>
  <c r="D10" i="36"/>
  <c r="D11" i="36"/>
  <c r="D12" i="36"/>
  <c r="D13" i="36"/>
  <c r="D14" i="36"/>
  <c r="D15" i="36"/>
  <c r="D16" i="36"/>
  <c r="D17" i="36"/>
  <c r="D18" i="36"/>
  <c r="D19" i="36"/>
  <c r="D20" i="36"/>
  <c r="D21" i="36"/>
  <c r="D22" i="36"/>
  <c r="D23" i="36"/>
  <c r="D24" i="36"/>
  <c r="D25" i="36"/>
  <c r="D26" i="36"/>
  <c r="D27" i="36"/>
  <c r="D28" i="36"/>
  <c r="D29" i="36"/>
  <c r="D30" i="36"/>
  <c r="D31" i="36"/>
  <c r="D32" i="36"/>
  <c r="D33" i="36"/>
  <c r="D34" i="36"/>
  <c r="D35" i="36"/>
  <c r="D36" i="36"/>
  <c r="D37" i="36"/>
  <c r="D38" i="36"/>
  <c r="D39" i="36"/>
  <c r="D40" i="36"/>
  <c r="D41" i="36"/>
  <c r="D42" i="36"/>
  <c r="D43" i="36"/>
  <c r="D44" i="36"/>
  <c r="D45" i="36"/>
  <c r="D46" i="36"/>
  <c r="D47" i="36"/>
  <c r="D48" i="36"/>
  <c r="D49" i="36"/>
  <c r="D50" i="36"/>
  <c r="D51" i="36"/>
  <c r="D52" i="36"/>
  <c r="D53" i="36"/>
  <c r="D54" i="36"/>
  <c r="D55" i="36"/>
  <c r="D56" i="36"/>
  <c r="D57" i="36"/>
  <c r="D58" i="36"/>
  <c r="D59" i="36"/>
  <c r="D60" i="36"/>
  <c r="D61" i="36"/>
  <c r="D62" i="36"/>
  <c r="D63" i="36"/>
  <c r="D64" i="36"/>
  <c r="D65" i="36"/>
  <c r="D66" i="36"/>
  <c r="D67" i="36"/>
  <c r="D68" i="36"/>
  <c r="D69" i="36"/>
  <c r="D70" i="36"/>
  <c r="C1" i="36"/>
  <c r="C2" i="36"/>
  <c r="C3" i="36"/>
  <c r="C4" i="36"/>
  <c r="C5" i="36"/>
  <c r="C6" i="36"/>
  <c r="C7" i="36"/>
  <c r="C8" i="36"/>
  <c r="C9" i="36"/>
  <c r="C10" i="36"/>
  <c r="C11" i="36"/>
  <c r="C12" i="36"/>
  <c r="C13" i="36"/>
  <c r="C14" i="36"/>
  <c r="C15" i="36"/>
  <c r="C16" i="36"/>
  <c r="C17" i="36"/>
  <c r="C18" i="36"/>
  <c r="C19" i="36"/>
  <c r="C20" i="36"/>
  <c r="C21" i="36"/>
  <c r="C22" i="36"/>
  <c r="C23" i="36"/>
  <c r="C24" i="36"/>
  <c r="C25" i="36"/>
  <c r="C26" i="36"/>
  <c r="C27" i="36"/>
  <c r="C28" i="36"/>
  <c r="C29" i="36"/>
  <c r="C30" i="36"/>
  <c r="C31" i="36"/>
  <c r="C32" i="36"/>
  <c r="C33" i="36"/>
  <c r="C34" i="36"/>
  <c r="C35" i="36"/>
  <c r="C36" i="36"/>
  <c r="C37" i="36"/>
  <c r="C38" i="36"/>
  <c r="C39" i="36"/>
  <c r="C40" i="36"/>
  <c r="C41" i="36"/>
  <c r="C42" i="36"/>
  <c r="C43" i="36"/>
  <c r="C44" i="36"/>
  <c r="C45" i="36"/>
  <c r="C46" i="36"/>
  <c r="C47" i="36"/>
  <c r="C48" i="36"/>
  <c r="C49" i="36"/>
  <c r="C50" i="36"/>
  <c r="C51" i="36"/>
  <c r="C52" i="36"/>
  <c r="C53" i="36"/>
  <c r="C54" i="36"/>
  <c r="C55" i="36"/>
  <c r="C56" i="36"/>
  <c r="C57" i="36"/>
  <c r="C58" i="36"/>
  <c r="C59" i="36"/>
  <c r="C60" i="36"/>
  <c r="C61" i="36"/>
  <c r="C62" i="36"/>
  <c r="C63" i="36"/>
  <c r="C64" i="36"/>
  <c r="C65" i="36"/>
  <c r="C66" i="36"/>
  <c r="C67" i="36"/>
  <c r="C68" i="36"/>
  <c r="C69" i="36"/>
  <c r="C70" i="36"/>
  <c r="H1" i="30"/>
  <c r="H2" i="30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G1" i="30"/>
  <c r="G2" i="30"/>
  <c r="G3" i="30"/>
  <c r="G4" i="30"/>
  <c r="G5" i="30"/>
  <c r="G6" i="30"/>
  <c r="G7" i="30"/>
  <c r="G8" i="30"/>
  <c r="G9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G34" i="30"/>
  <c r="G35" i="30"/>
  <c r="G36" i="30"/>
  <c r="G37" i="30"/>
  <c r="G38" i="30"/>
  <c r="G39" i="30"/>
  <c r="G40" i="30"/>
  <c r="G41" i="30"/>
  <c r="G42" i="30"/>
  <c r="G43" i="30"/>
  <c r="G44" i="30"/>
  <c r="G45" i="30"/>
  <c r="G46" i="30"/>
  <c r="G47" i="30"/>
  <c r="G48" i="30"/>
  <c r="G49" i="30"/>
  <c r="G50" i="30"/>
  <c r="G51" i="30"/>
  <c r="G52" i="30"/>
  <c r="G53" i="30"/>
  <c r="G54" i="30"/>
  <c r="G55" i="30"/>
  <c r="G56" i="30"/>
  <c r="G57" i="30"/>
  <c r="G58" i="30"/>
  <c r="G59" i="30"/>
  <c r="G60" i="30"/>
  <c r="G61" i="30"/>
  <c r="G62" i="30"/>
  <c r="G63" i="30"/>
  <c r="G64" i="30"/>
  <c r="G65" i="30"/>
  <c r="G66" i="30"/>
  <c r="G67" i="30"/>
  <c r="G68" i="30"/>
  <c r="G69" i="30"/>
  <c r="G70" i="30"/>
  <c r="D1" i="30"/>
  <c r="D2" i="30"/>
  <c r="D3" i="30"/>
  <c r="D4" i="30"/>
  <c r="D5" i="30"/>
  <c r="D6" i="30"/>
  <c r="D7" i="30"/>
  <c r="D8" i="30"/>
  <c r="D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34" i="30"/>
  <c r="D35" i="30"/>
  <c r="D36" i="30"/>
  <c r="D37" i="30"/>
  <c r="D38" i="30"/>
  <c r="D39" i="30"/>
  <c r="D40" i="30"/>
  <c r="D41" i="30"/>
  <c r="D42" i="30"/>
  <c r="D43" i="30"/>
  <c r="D44" i="30"/>
  <c r="D45" i="30"/>
  <c r="D46" i="30"/>
  <c r="D47" i="30"/>
  <c r="D48" i="30"/>
  <c r="D49" i="30"/>
  <c r="D50" i="30"/>
  <c r="D51" i="30"/>
  <c r="D52" i="30"/>
  <c r="D53" i="30"/>
  <c r="D54" i="30"/>
  <c r="D55" i="30"/>
  <c r="D56" i="30"/>
  <c r="D57" i="30"/>
  <c r="D58" i="30"/>
  <c r="D59" i="30"/>
  <c r="D60" i="30"/>
  <c r="D61" i="30"/>
  <c r="D62" i="30"/>
  <c r="D63" i="30"/>
  <c r="D64" i="30"/>
  <c r="D65" i="30"/>
  <c r="D66" i="30"/>
  <c r="D67" i="30"/>
  <c r="D68" i="30"/>
  <c r="D69" i="30"/>
  <c r="D70" i="30"/>
  <c r="C1" i="30"/>
  <c r="C2" i="30"/>
  <c r="C3" i="30"/>
  <c r="C4" i="30"/>
  <c r="C5" i="30"/>
  <c r="C6" i="30"/>
  <c r="C7" i="30"/>
  <c r="C8" i="30"/>
  <c r="C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34" i="30"/>
  <c r="C35" i="30"/>
  <c r="C36" i="30"/>
  <c r="C37" i="30"/>
  <c r="C38" i="30"/>
  <c r="C39" i="30"/>
  <c r="C40" i="30"/>
  <c r="C41" i="30"/>
  <c r="C42" i="30"/>
  <c r="C43" i="30"/>
  <c r="C44" i="30"/>
  <c r="C45" i="30"/>
  <c r="C46" i="30"/>
  <c r="C47" i="30"/>
  <c r="C48" i="30"/>
  <c r="C49" i="30"/>
  <c r="C50" i="30"/>
  <c r="C51" i="30"/>
  <c r="C52" i="30"/>
  <c r="C53" i="30"/>
  <c r="C54" i="30"/>
  <c r="C55" i="30"/>
  <c r="C56" i="30"/>
  <c r="C57" i="30"/>
  <c r="C58" i="30"/>
  <c r="C59" i="30"/>
  <c r="C60" i="30"/>
  <c r="C61" i="30"/>
  <c r="C62" i="30"/>
  <c r="C63" i="30"/>
  <c r="C64" i="30"/>
  <c r="C65" i="30"/>
  <c r="C66" i="30"/>
  <c r="C67" i="30"/>
  <c r="C68" i="30"/>
  <c r="C69" i="30"/>
  <c r="C70" i="30"/>
  <c r="H1" i="28"/>
  <c r="H2" i="28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G1" i="28"/>
  <c r="G2" i="28"/>
  <c r="G3" i="28"/>
  <c r="G4" i="28"/>
  <c r="G5" i="28"/>
  <c r="G6" i="28"/>
  <c r="G7" i="28"/>
  <c r="G8" i="28"/>
  <c r="G9" i="28"/>
  <c r="G10" i="28"/>
  <c r="G11" i="28"/>
  <c r="G12" i="28"/>
  <c r="G13" i="28"/>
  <c r="G14" i="28"/>
  <c r="G15" i="28"/>
  <c r="G16" i="28"/>
  <c r="G17" i="28"/>
  <c r="G18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31" i="28"/>
  <c r="G32" i="28"/>
  <c r="G33" i="28"/>
  <c r="G34" i="28"/>
  <c r="G35" i="28"/>
  <c r="G36" i="28"/>
  <c r="G37" i="28"/>
  <c r="G38" i="28"/>
  <c r="G39" i="28"/>
  <c r="G40" i="28"/>
  <c r="G41" i="28"/>
  <c r="G42" i="28"/>
  <c r="G43" i="28"/>
  <c r="G44" i="28"/>
  <c r="G45" i="28"/>
  <c r="G46" i="28"/>
  <c r="G47" i="28"/>
  <c r="G48" i="28"/>
  <c r="G49" i="28"/>
  <c r="G50" i="28"/>
  <c r="G51" i="28"/>
  <c r="G52" i="28"/>
  <c r="G53" i="28"/>
  <c r="G54" i="28"/>
  <c r="G55" i="28"/>
  <c r="G56" i="28"/>
  <c r="G57" i="28"/>
  <c r="G58" i="28"/>
  <c r="G59" i="28"/>
  <c r="G60" i="28"/>
  <c r="G61" i="28"/>
  <c r="G62" i="28"/>
  <c r="G63" i="28"/>
  <c r="G64" i="28"/>
  <c r="G65" i="28"/>
  <c r="G66" i="28"/>
  <c r="G67" i="28"/>
  <c r="G68" i="28"/>
  <c r="G69" i="28"/>
  <c r="G70" i="28"/>
  <c r="D1" i="28"/>
  <c r="D2" i="28"/>
  <c r="D3" i="28"/>
  <c r="D4" i="28"/>
  <c r="D5" i="28"/>
  <c r="D6" i="28"/>
  <c r="D7" i="28"/>
  <c r="D8" i="28"/>
  <c r="D9" i="28"/>
  <c r="D10" i="28"/>
  <c r="D11" i="28"/>
  <c r="D12" i="28"/>
  <c r="D13" i="28"/>
  <c r="D14" i="28"/>
  <c r="D15" i="28"/>
  <c r="D16" i="28"/>
  <c r="D17" i="28"/>
  <c r="D18" i="28"/>
  <c r="D19" i="28"/>
  <c r="D20" i="28"/>
  <c r="D21" i="28"/>
  <c r="D22" i="28"/>
  <c r="D23" i="28"/>
  <c r="D24" i="28"/>
  <c r="D25" i="28"/>
  <c r="D26" i="28"/>
  <c r="D27" i="28"/>
  <c r="D28" i="28"/>
  <c r="D29" i="28"/>
  <c r="D30" i="28"/>
  <c r="D31" i="28"/>
  <c r="D32" i="28"/>
  <c r="D33" i="28"/>
  <c r="D34" i="28"/>
  <c r="D35" i="28"/>
  <c r="D36" i="28"/>
  <c r="D37" i="28"/>
  <c r="D38" i="28"/>
  <c r="D39" i="28"/>
  <c r="D40" i="28"/>
  <c r="D41" i="28"/>
  <c r="D42" i="28"/>
  <c r="D43" i="28"/>
  <c r="D44" i="28"/>
  <c r="D45" i="28"/>
  <c r="D46" i="28"/>
  <c r="D47" i="28"/>
  <c r="D48" i="28"/>
  <c r="D49" i="28"/>
  <c r="D50" i="28"/>
  <c r="D51" i="28"/>
  <c r="D52" i="28"/>
  <c r="D53" i="28"/>
  <c r="D54" i="28"/>
  <c r="D55" i="28"/>
  <c r="D56" i="28"/>
  <c r="D57" i="28"/>
  <c r="D58" i="28"/>
  <c r="D59" i="28"/>
  <c r="D60" i="28"/>
  <c r="D61" i="28"/>
  <c r="D62" i="28"/>
  <c r="D63" i="28"/>
  <c r="D64" i="28"/>
  <c r="D65" i="28"/>
  <c r="D66" i="28"/>
  <c r="D67" i="28"/>
  <c r="D68" i="28"/>
  <c r="D69" i="28"/>
  <c r="D70" i="28"/>
  <c r="C1" i="28"/>
  <c r="C2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H1" i="26"/>
  <c r="H2" i="26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G1" i="26"/>
  <c r="G2" i="26"/>
  <c r="G3" i="26"/>
  <c r="G4" i="26"/>
  <c r="G5" i="26"/>
  <c r="G6" i="26"/>
  <c r="G7" i="26"/>
  <c r="G8" i="26"/>
  <c r="G9" i="26"/>
  <c r="G10" i="26"/>
  <c r="G11" i="26"/>
  <c r="G12" i="26"/>
  <c r="G13" i="26"/>
  <c r="G14" i="26"/>
  <c r="G15" i="26"/>
  <c r="G16" i="26"/>
  <c r="G17" i="26"/>
  <c r="G18" i="26"/>
  <c r="G19" i="26"/>
  <c r="G20" i="26"/>
  <c r="G21" i="26"/>
  <c r="G22" i="26"/>
  <c r="G23" i="26"/>
  <c r="G24" i="26"/>
  <c r="G25" i="26"/>
  <c r="G26" i="26"/>
  <c r="G27" i="26"/>
  <c r="G28" i="26"/>
  <c r="G29" i="26"/>
  <c r="G30" i="26"/>
  <c r="G31" i="26"/>
  <c r="G32" i="26"/>
  <c r="G33" i="26"/>
  <c r="G34" i="26"/>
  <c r="G35" i="26"/>
  <c r="G36" i="26"/>
  <c r="G37" i="26"/>
  <c r="G38" i="26"/>
  <c r="G39" i="26"/>
  <c r="G40" i="26"/>
  <c r="G41" i="26"/>
  <c r="G42" i="26"/>
  <c r="G43" i="26"/>
  <c r="G44" i="26"/>
  <c r="G45" i="26"/>
  <c r="G46" i="26"/>
  <c r="G47" i="26"/>
  <c r="G48" i="26"/>
  <c r="G49" i="26"/>
  <c r="G50" i="26"/>
  <c r="G51" i="26"/>
  <c r="G52" i="26"/>
  <c r="G53" i="26"/>
  <c r="G54" i="26"/>
  <c r="G55" i="26"/>
  <c r="G56" i="26"/>
  <c r="G57" i="26"/>
  <c r="G58" i="26"/>
  <c r="G59" i="26"/>
  <c r="G60" i="26"/>
  <c r="G61" i="26"/>
  <c r="G62" i="26"/>
  <c r="G63" i="26"/>
  <c r="G64" i="26"/>
  <c r="G65" i="26"/>
  <c r="G66" i="26"/>
  <c r="G67" i="26"/>
  <c r="G68" i="26"/>
  <c r="G69" i="26"/>
  <c r="G70" i="26"/>
  <c r="D1" i="26"/>
  <c r="D2" i="26"/>
  <c r="D3" i="26"/>
  <c r="D4" i="26"/>
  <c r="D5" i="26"/>
  <c r="D6" i="26"/>
  <c r="D7" i="26"/>
  <c r="D8" i="26"/>
  <c r="D9" i="26"/>
  <c r="D10" i="26"/>
  <c r="D11" i="26"/>
  <c r="D12" i="26"/>
  <c r="D13" i="26"/>
  <c r="D14" i="26"/>
  <c r="D15" i="26"/>
  <c r="D16" i="26"/>
  <c r="D17" i="26"/>
  <c r="D18" i="26"/>
  <c r="D19" i="26"/>
  <c r="D20" i="26"/>
  <c r="D21" i="26"/>
  <c r="D22" i="26"/>
  <c r="D23" i="26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42" i="26"/>
  <c r="D43" i="26"/>
  <c r="D44" i="26"/>
  <c r="D45" i="26"/>
  <c r="D46" i="26"/>
  <c r="D47" i="26"/>
  <c r="D48" i="26"/>
  <c r="D49" i="26"/>
  <c r="D50" i="26"/>
  <c r="D51" i="26"/>
  <c r="D52" i="26"/>
  <c r="D53" i="26"/>
  <c r="D54" i="26"/>
  <c r="D55" i="26"/>
  <c r="D56" i="26"/>
  <c r="D57" i="26"/>
  <c r="D58" i="26"/>
  <c r="D59" i="26"/>
  <c r="D60" i="26"/>
  <c r="D61" i="26"/>
  <c r="D62" i="26"/>
  <c r="D63" i="26"/>
  <c r="D64" i="26"/>
  <c r="D65" i="26"/>
  <c r="D66" i="26"/>
  <c r="D67" i="26"/>
  <c r="D68" i="26"/>
  <c r="D69" i="26"/>
  <c r="D70" i="26"/>
  <c r="C1" i="26"/>
  <c r="C2" i="26"/>
  <c r="C3" i="26"/>
  <c r="C4" i="26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C53" i="26"/>
  <c r="C54" i="26"/>
  <c r="C55" i="26"/>
  <c r="C56" i="26"/>
  <c r="C57" i="26"/>
  <c r="C58" i="26"/>
  <c r="C59" i="26"/>
  <c r="C60" i="26"/>
  <c r="C61" i="26"/>
  <c r="C62" i="26"/>
  <c r="C63" i="26"/>
  <c r="C64" i="26"/>
  <c r="C65" i="26"/>
  <c r="C66" i="26"/>
  <c r="C67" i="26"/>
  <c r="C68" i="26"/>
  <c r="C69" i="26"/>
  <c r="C70" i="26"/>
</calcChain>
</file>

<file path=xl/sharedStrings.xml><?xml version="1.0" encoding="utf-8"?>
<sst xmlns="http://schemas.openxmlformats.org/spreadsheetml/2006/main" count="328" uniqueCount="35">
  <si>
    <t>firm</t>
  </si>
  <si>
    <t>year</t>
  </si>
  <si>
    <t>inv</t>
  </si>
  <si>
    <t>value</t>
  </si>
  <si>
    <t>capital</t>
  </si>
  <si>
    <t>Gender</t>
  </si>
  <si>
    <t>Age</t>
  </si>
  <si>
    <t>Height</t>
  </si>
  <si>
    <t>Weight</t>
  </si>
  <si>
    <t>f</t>
  </si>
  <si>
    <t>m</t>
  </si>
  <si>
    <t>ID</t>
  </si>
  <si>
    <t>AvPages/Week</t>
  </si>
  <si>
    <t>Pages/Week</t>
  </si>
  <si>
    <t>Renewed</t>
  </si>
  <si>
    <t>18-24</t>
  </si>
  <si>
    <t>25-29</t>
  </si>
  <si>
    <t>30-39</t>
  </si>
  <si>
    <t>40-49</t>
  </si>
  <si>
    <t>50-59</t>
  </si>
  <si>
    <t>60+</t>
  </si>
  <si>
    <t>Date</t>
  </si>
  <si>
    <t>S&amp;P 500 (^GSPC)</t>
  </si>
  <si>
    <t>Microsoft Corporation (MSFT)</t>
  </si>
  <si>
    <t>INSERT : MSFT</t>
  </si>
  <si>
    <t>INSERT : ^GSPC</t>
  </si>
  <si>
    <t>SMB</t>
  </si>
  <si>
    <t>HML</t>
  </si>
  <si>
    <t>From yahoo finance: historical prices, Jan 2010-Sept 2021, monthly; adjusted close</t>
  </si>
  <si>
    <t>From yahoo finance: historical prices, Jan 2010-Sept 2021, monthly; close</t>
  </si>
  <si>
    <r>
      <t xml:space="preserve">Treasury Bill 3 Months (13 Weeks, </t>
    </r>
    <r>
      <rPr>
        <b/>
        <sz val="10"/>
        <color theme="1"/>
        <rFont val="Times New Roman"/>
        <family val="1"/>
      </rPr>
      <t>^IRX</t>
    </r>
    <r>
      <rPr>
        <sz val="10"/>
        <color theme="1"/>
        <rFont val="Times New Roman"/>
        <family val="1"/>
      </rPr>
      <t>)</t>
    </r>
  </si>
  <si>
    <t>Monthly returns (from Yahoo you get annualized percentage rates of return)</t>
  </si>
  <si>
    <t>ÎRX</t>
  </si>
  <si>
    <t>Monthly TB</t>
  </si>
  <si>
    <t>AR(1)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</si>
</sst>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rgb="FFE0E4E9"/>
      </top>
      <bottom/>
      <diagonal/>
    </border>
  </borders>
  <cellStyleXfs count="2">
    <xf numFmtId="0" fontId="0" fillId="0" borderId="0"/>
    <xf numFmtId="0" fontId="6" fillId="0" borderId="0"/>
  </cellStyleXfs>
  <cellXfs count="15">
    <xf numFmtId="0" fontId="0" fillId="0" borderId="0" xfId="0"/>
    <xf numFmtId="0" fontId="1" fillId="0" borderId="0" xfId="0" applyFont="1"/>
    <xf numFmtId="0" fontId="2" fillId="0" borderId="0" xfId="0" applyFont="1"/>
    <xf numFmtId="2" fontId="0" fillId="0" borderId="0" xfId="0" applyNumberFormat="1"/>
    <xf numFmtId="14" fontId="0" fillId="0" borderId="0" xfId="0" applyNumberFormat="1"/>
    <xf numFmtId="0" fontId="3" fillId="0" borderId="0" xfId="0" applyFont="1"/>
    <xf numFmtId="0" fontId="4" fillId="0" borderId="0" xfId="0" applyFont="1"/>
    <xf numFmtId="2" fontId="5" fillId="2" borderId="1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1" fontId="0" fillId="0" borderId="0" xfId="0" applyNumberFormat="1"/>
    <xf numFmtId="0" fontId="7" fillId="0" borderId="0" xfId="0" applyFont="1"/>
    <xf numFmtId="0" fontId="0" fillId="0" borderId="0" xfId="0" applyFont="1"/>
    <xf numFmtId="164" fontId="0" fillId="0" borderId="0" xfId="0" applyNumberFormat="1"/>
    <xf numFmtId="0" fontId="1" fillId="0" borderId="0" xfId="0" applyFont="1" applyAlignment="1">
      <alignment horizontal="center"/>
    </xf>
  </cellXfs>
  <cellStyles count="2">
    <cellStyle name="Normal" xfId="0" builtinId="0"/>
    <cellStyle name="Normal 2" xfId="1" xr:uid="{D8164D41-B95B-4C61-97C3-1523608AE47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.calamia/Dropbox/ANNA/ANNA_TBS/TEACHING/ECONOMETRICS/BARCELONA/data%20with%20risk%20free%20and%20retur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data with risk free and returns"/>
    </sheetNames>
    <definedNames>
      <definedName name="xdata1" refersTo="#REF!"/>
      <definedName name="xdata2" refersTo="#REF!"/>
      <definedName name="xdata3" refersTo="#REF!"/>
      <definedName name="xdata4" refersTo="#REF!"/>
    </definedNames>
    <sheetDataSet>
      <sheetData sheetId="0">
        <row r="1">
          <cell r="A1" t="str">
            <v>Date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5A62E-ECA8-4D16-8DA0-C1591A70516C}">
  <sheetPr codeName="Sheet1"/>
  <dimension ref="A1:E131"/>
  <sheetViews>
    <sheetView tabSelected="1" workbookViewId="0">
      <selection activeCell="E1" sqref="E1"/>
    </sheetView>
  </sheetViews>
  <sheetFormatPr baseColWidth="10" defaultColWidth="8.88671875" defaultRowHeight="14.4" x14ac:dyDescent="0.3"/>
  <cols>
    <col min="1" max="1" width="10.44140625" customWidth="1"/>
    <col min="2" max="2" width="29.44140625" bestFit="1" customWidth="1"/>
  </cols>
  <sheetData>
    <row r="1" spans="1:5" ht="15.6" x14ac:dyDescent="0.3">
      <c r="A1" s="5" t="s">
        <v>21</v>
      </c>
      <c r="B1" s="6" t="s">
        <v>23</v>
      </c>
      <c r="E1" t="s">
        <v>28</v>
      </c>
    </row>
    <row r="2" spans="1:5" x14ac:dyDescent="0.3">
      <c r="A2" s="4">
        <v>40513</v>
      </c>
      <c r="B2">
        <v>22.046198</v>
      </c>
      <c r="E2" s="1" t="s">
        <v>24</v>
      </c>
    </row>
    <row r="3" spans="1:5" x14ac:dyDescent="0.3">
      <c r="A3" s="4">
        <v>40544</v>
      </c>
      <c r="B3">
        <v>21.904012999999999</v>
      </c>
    </row>
    <row r="4" spans="1:5" x14ac:dyDescent="0.3">
      <c r="A4" s="4">
        <v>40575</v>
      </c>
      <c r="B4">
        <v>20.995626000000001</v>
      </c>
    </row>
    <row r="5" spans="1:5" x14ac:dyDescent="0.3">
      <c r="A5" s="4">
        <v>40603</v>
      </c>
      <c r="B5">
        <v>20.174178999999999</v>
      </c>
    </row>
    <row r="6" spans="1:5" x14ac:dyDescent="0.3">
      <c r="A6" s="4">
        <v>40634</v>
      </c>
      <c r="B6">
        <v>20.595310000000001</v>
      </c>
    </row>
    <row r="7" spans="1:5" x14ac:dyDescent="0.3">
      <c r="A7" s="4">
        <v>40664</v>
      </c>
      <c r="B7">
        <v>19.872242</v>
      </c>
    </row>
    <row r="8" spans="1:5" x14ac:dyDescent="0.3">
      <c r="A8" s="4">
        <v>40695</v>
      </c>
      <c r="B8">
        <v>20.794284999999999</v>
      </c>
    </row>
    <row r="9" spans="1:5" x14ac:dyDescent="0.3">
      <c r="A9" s="4">
        <v>40725</v>
      </c>
      <c r="B9">
        <v>21.913976999999999</v>
      </c>
    </row>
    <row r="10" spans="1:5" x14ac:dyDescent="0.3">
      <c r="A10" s="4">
        <v>40756</v>
      </c>
      <c r="B10">
        <v>21.274152999999998</v>
      </c>
    </row>
    <row r="11" spans="1:5" x14ac:dyDescent="0.3">
      <c r="A11" s="4">
        <v>40787</v>
      </c>
      <c r="B11">
        <v>20.032173</v>
      </c>
    </row>
    <row r="12" spans="1:5" x14ac:dyDescent="0.3">
      <c r="A12" s="4">
        <v>40817</v>
      </c>
      <c r="B12">
        <v>21.432570999999999</v>
      </c>
    </row>
    <row r="13" spans="1:5" x14ac:dyDescent="0.3">
      <c r="A13" s="4">
        <v>40848</v>
      </c>
      <c r="B13">
        <v>20.587498</v>
      </c>
    </row>
    <row r="14" spans="1:5" x14ac:dyDescent="0.3">
      <c r="A14" s="4">
        <v>40878</v>
      </c>
      <c r="B14">
        <v>21.050663</v>
      </c>
    </row>
    <row r="15" spans="1:5" x14ac:dyDescent="0.3">
      <c r="A15" s="4">
        <v>40909</v>
      </c>
      <c r="B15">
        <v>23.945537999999999</v>
      </c>
    </row>
    <row r="16" spans="1:5" x14ac:dyDescent="0.3">
      <c r="A16" s="4">
        <v>40940</v>
      </c>
      <c r="B16">
        <v>25.73761</v>
      </c>
    </row>
    <row r="17" spans="1:2" x14ac:dyDescent="0.3">
      <c r="A17" s="4">
        <v>40969</v>
      </c>
      <c r="B17">
        <v>26.331484</v>
      </c>
    </row>
    <row r="18" spans="1:2" x14ac:dyDescent="0.3">
      <c r="A18" s="4">
        <v>41000</v>
      </c>
      <c r="B18">
        <v>26.135581999999999</v>
      </c>
    </row>
    <row r="19" spans="1:2" x14ac:dyDescent="0.3">
      <c r="A19" s="4">
        <v>41030</v>
      </c>
      <c r="B19">
        <v>23.825668</v>
      </c>
    </row>
    <row r="20" spans="1:2" x14ac:dyDescent="0.3">
      <c r="A20" s="4">
        <v>41061</v>
      </c>
      <c r="B20">
        <v>25.132214000000001</v>
      </c>
    </row>
    <row r="21" spans="1:2" x14ac:dyDescent="0.3">
      <c r="A21" s="4">
        <v>41091</v>
      </c>
      <c r="B21">
        <v>24.212043999999999</v>
      </c>
    </row>
    <row r="22" spans="1:2" x14ac:dyDescent="0.3">
      <c r="A22" s="4">
        <v>41122</v>
      </c>
      <c r="B22">
        <v>25.321179999999998</v>
      </c>
    </row>
    <row r="23" spans="1:2" x14ac:dyDescent="0.3">
      <c r="A23" s="4">
        <v>41153</v>
      </c>
      <c r="B23">
        <v>24.612273999999999</v>
      </c>
    </row>
    <row r="24" spans="1:2" x14ac:dyDescent="0.3">
      <c r="A24" s="4">
        <v>41183</v>
      </c>
      <c r="B24">
        <v>23.603301999999999</v>
      </c>
    </row>
    <row r="25" spans="1:2" x14ac:dyDescent="0.3">
      <c r="A25" s="4">
        <v>41214</v>
      </c>
      <c r="B25">
        <v>22.015421</v>
      </c>
    </row>
    <row r="26" spans="1:2" x14ac:dyDescent="0.3">
      <c r="A26" s="4">
        <v>41244</v>
      </c>
      <c r="B26">
        <v>22.271370000000001</v>
      </c>
    </row>
    <row r="27" spans="1:2" x14ac:dyDescent="0.3">
      <c r="A27" s="4">
        <v>41275</v>
      </c>
      <c r="B27">
        <v>22.888397000000001</v>
      </c>
    </row>
    <row r="28" spans="1:2" x14ac:dyDescent="0.3">
      <c r="A28" s="4">
        <v>41306</v>
      </c>
      <c r="B28">
        <v>23.180235</v>
      </c>
    </row>
    <row r="29" spans="1:2" x14ac:dyDescent="0.3">
      <c r="A29" s="4">
        <v>41334</v>
      </c>
      <c r="B29">
        <v>24.053135000000001</v>
      </c>
    </row>
    <row r="30" spans="1:2" x14ac:dyDescent="0.3">
      <c r="A30" s="4">
        <v>41365</v>
      </c>
      <c r="B30">
        <v>27.82799</v>
      </c>
    </row>
    <row r="31" spans="1:2" x14ac:dyDescent="0.3">
      <c r="A31" s="4">
        <v>41395</v>
      </c>
      <c r="B31">
        <v>29.341294999999999</v>
      </c>
    </row>
    <row r="32" spans="1:2" x14ac:dyDescent="0.3">
      <c r="A32" s="4">
        <v>41426</v>
      </c>
      <c r="B32">
        <v>29.242263999999999</v>
      </c>
    </row>
    <row r="33" spans="1:2" x14ac:dyDescent="0.3">
      <c r="A33" s="4">
        <v>41456</v>
      </c>
      <c r="B33">
        <v>26.956385000000001</v>
      </c>
    </row>
    <row r="34" spans="1:2" x14ac:dyDescent="0.3">
      <c r="A34" s="4">
        <v>41487</v>
      </c>
      <c r="B34">
        <v>28.277108999999999</v>
      </c>
    </row>
    <row r="35" spans="1:2" x14ac:dyDescent="0.3">
      <c r="A35" s="4">
        <v>41518</v>
      </c>
      <c r="B35">
        <v>28.37406</v>
      </c>
    </row>
    <row r="36" spans="1:2" x14ac:dyDescent="0.3">
      <c r="A36" s="4">
        <v>41548</v>
      </c>
      <c r="B36">
        <v>30.190071</v>
      </c>
    </row>
    <row r="37" spans="1:2" x14ac:dyDescent="0.3">
      <c r="A37" s="4">
        <v>41579</v>
      </c>
      <c r="B37">
        <v>32.509106000000003</v>
      </c>
    </row>
    <row r="38" spans="1:2" x14ac:dyDescent="0.3">
      <c r="A38" s="4">
        <v>41609</v>
      </c>
      <c r="B38">
        <v>32.137127</v>
      </c>
    </row>
    <row r="39" spans="1:2" x14ac:dyDescent="0.3">
      <c r="A39" s="4">
        <v>41640</v>
      </c>
      <c r="B39">
        <v>32.506518999999997</v>
      </c>
    </row>
    <row r="40" spans="1:2" x14ac:dyDescent="0.3">
      <c r="A40" s="4">
        <v>41671</v>
      </c>
      <c r="B40">
        <v>32.910282000000002</v>
      </c>
    </row>
    <row r="41" spans="1:2" x14ac:dyDescent="0.3">
      <c r="A41" s="4">
        <v>41699</v>
      </c>
      <c r="B41">
        <v>35.476601000000002</v>
      </c>
    </row>
    <row r="42" spans="1:2" x14ac:dyDescent="0.3">
      <c r="A42" s="4">
        <v>41730</v>
      </c>
      <c r="B42">
        <v>34.965938999999999</v>
      </c>
    </row>
    <row r="43" spans="1:2" x14ac:dyDescent="0.3">
      <c r="A43" s="4">
        <v>41760</v>
      </c>
      <c r="B43">
        <v>35.433315</v>
      </c>
    </row>
    <row r="44" spans="1:2" x14ac:dyDescent="0.3">
      <c r="A44" s="4">
        <v>41791</v>
      </c>
      <c r="B44">
        <v>36.345699000000003</v>
      </c>
    </row>
    <row r="45" spans="1:2" x14ac:dyDescent="0.3">
      <c r="A45" s="4">
        <v>41821</v>
      </c>
      <c r="B45">
        <v>37.618237000000001</v>
      </c>
    </row>
    <row r="46" spans="1:2" x14ac:dyDescent="0.3">
      <c r="A46" s="4">
        <v>41852</v>
      </c>
      <c r="B46">
        <v>39.596755999999999</v>
      </c>
    </row>
    <row r="47" spans="1:2" x14ac:dyDescent="0.3">
      <c r="A47" s="4">
        <v>41883</v>
      </c>
      <c r="B47">
        <v>40.659725000000002</v>
      </c>
    </row>
    <row r="48" spans="1:2" x14ac:dyDescent="0.3">
      <c r="A48" s="4">
        <v>41913</v>
      </c>
      <c r="B48">
        <v>41.177180999999997</v>
      </c>
    </row>
    <row r="49" spans="1:2" x14ac:dyDescent="0.3">
      <c r="A49" s="4">
        <v>41944</v>
      </c>
      <c r="B49">
        <v>41.931441999999997</v>
      </c>
    </row>
    <row r="50" spans="1:2" x14ac:dyDescent="0.3">
      <c r="A50" s="4">
        <v>41974</v>
      </c>
      <c r="B50">
        <v>40.995612999999999</v>
      </c>
    </row>
    <row r="51" spans="1:2" x14ac:dyDescent="0.3">
      <c r="A51" s="4">
        <v>42005</v>
      </c>
      <c r="B51">
        <v>35.656025</v>
      </c>
    </row>
    <row r="52" spans="1:2" x14ac:dyDescent="0.3">
      <c r="A52" s="4">
        <v>42036</v>
      </c>
      <c r="B52">
        <v>38.700909000000003</v>
      </c>
    </row>
    <row r="53" spans="1:2" x14ac:dyDescent="0.3">
      <c r="A53" s="4">
        <v>42064</v>
      </c>
      <c r="B53">
        <v>36.140877000000003</v>
      </c>
    </row>
    <row r="54" spans="1:2" x14ac:dyDescent="0.3">
      <c r="A54" s="4">
        <v>42095</v>
      </c>
      <c r="B54">
        <v>43.233955000000002</v>
      </c>
    </row>
    <row r="55" spans="1:2" x14ac:dyDescent="0.3">
      <c r="A55" s="4">
        <v>42125</v>
      </c>
      <c r="B55">
        <v>41.651786999999999</v>
      </c>
    </row>
    <row r="56" spans="1:2" x14ac:dyDescent="0.3">
      <c r="A56" s="4">
        <v>42156</v>
      </c>
      <c r="B56">
        <v>39.498024000000001</v>
      </c>
    </row>
    <row r="57" spans="1:2" x14ac:dyDescent="0.3">
      <c r="A57" s="4">
        <v>42186</v>
      </c>
      <c r="B57">
        <v>41.779335000000003</v>
      </c>
    </row>
    <row r="58" spans="1:2" x14ac:dyDescent="0.3">
      <c r="A58" s="4">
        <v>42217</v>
      </c>
      <c r="B58">
        <v>38.934401999999999</v>
      </c>
    </row>
    <row r="59" spans="1:2" x14ac:dyDescent="0.3">
      <c r="A59" s="4">
        <v>42248</v>
      </c>
      <c r="B59">
        <v>39.857543999999997</v>
      </c>
    </row>
    <row r="60" spans="1:2" x14ac:dyDescent="0.3">
      <c r="A60" s="4">
        <v>42278</v>
      </c>
      <c r="B60">
        <v>47.404007</v>
      </c>
    </row>
    <row r="61" spans="1:2" x14ac:dyDescent="0.3">
      <c r="A61" s="4">
        <v>42309</v>
      </c>
      <c r="B61">
        <v>48.943913000000002</v>
      </c>
    </row>
    <row r="62" spans="1:2" x14ac:dyDescent="0.3">
      <c r="A62" s="4">
        <v>42339</v>
      </c>
      <c r="B62">
        <v>50.298279000000001</v>
      </c>
    </row>
    <row r="63" spans="1:2" x14ac:dyDescent="0.3">
      <c r="A63" s="4">
        <v>42370</v>
      </c>
      <c r="B63">
        <v>49.944713999999998</v>
      </c>
    </row>
    <row r="64" spans="1:2" x14ac:dyDescent="0.3">
      <c r="A64" s="4">
        <v>42401</v>
      </c>
      <c r="B64">
        <v>46.127903000000003</v>
      </c>
    </row>
    <row r="65" spans="1:2" x14ac:dyDescent="0.3">
      <c r="A65" s="4">
        <v>42430</v>
      </c>
      <c r="B65">
        <v>50.431128999999999</v>
      </c>
    </row>
    <row r="66" spans="1:2" x14ac:dyDescent="0.3">
      <c r="A66" s="4">
        <v>42461</v>
      </c>
      <c r="B66">
        <v>45.536850000000001</v>
      </c>
    </row>
    <row r="67" spans="1:2" x14ac:dyDescent="0.3">
      <c r="A67" s="4">
        <v>42491</v>
      </c>
      <c r="B67">
        <v>48.394894000000001</v>
      </c>
    </row>
    <row r="68" spans="1:2" x14ac:dyDescent="0.3">
      <c r="A68" s="4">
        <v>42522</v>
      </c>
      <c r="B68">
        <v>47.050705000000001</v>
      </c>
    </row>
    <row r="69" spans="1:2" x14ac:dyDescent="0.3">
      <c r="A69" s="4">
        <v>42552</v>
      </c>
      <c r="B69">
        <v>52.117137999999997</v>
      </c>
    </row>
    <row r="70" spans="1:2" x14ac:dyDescent="0.3">
      <c r="A70" s="4">
        <v>42583</v>
      </c>
      <c r="B70">
        <v>52.834350999999998</v>
      </c>
    </row>
    <row r="71" spans="1:2" x14ac:dyDescent="0.3">
      <c r="A71" s="4">
        <v>42614</v>
      </c>
      <c r="B71">
        <v>53.293174999999998</v>
      </c>
    </row>
    <row r="72" spans="1:2" x14ac:dyDescent="0.3">
      <c r="A72" s="4">
        <v>42644</v>
      </c>
      <c r="B72">
        <v>55.439715999999997</v>
      </c>
    </row>
    <row r="73" spans="1:2" x14ac:dyDescent="0.3">
      <c r="A73" s="4">
        <v>42675</v>
      </c>
      <c r="B73">
        <v>55.754288000000003</v>
      </c>
    </row>
    <row r="74" spans="1:2" x14ac:dyDescent="0.3">
      <c r="A74" s="4">
        <v>42705</v>
      </c>
      <c r="B74">
        <v>57.882114000000001</v>
      </c>
    </row>
    <row r="75" spans="1:2" x14ac:dyDescent="0.3">
      <c r="A75" s="4">
        <v>42736</v>
      </c>
      <c r="B75">
        <v>60.220123000000001</v>
      </c>
    </row>
    <row r="76" spans="1:2" x14ac:dyDescent="0.3">
      <c r="A76" s="4">
        <v>42767</v>
      </c>
      <c r="B76">
        <v>59.596038999999998</v>
      </c>
    </row>
    <row r="77" spans="1:2" x14ac:dyDescent="0.3">
      <c r="A77" s="4">
        <v>42795</v>
      </c>
      <c r="B77">
        <v>61.719127999999998</v>
      </c>
    </row>
    <row r="78" spans="1:2" x14ac:dyDescent="0.3">
      <c r="A78" s="4">
        <v>42826</v>
      </c>
      <c r="B78">
        <v>64.155663000000004</v>
      </c>
    </row>
    <row r="79" spans="1:2" x14ac:dyDescent="0.3">
      <c r="A79" s="4">
        <v>42856</v>
      </c>
      <c r="B79">
        <v>65.448891000000003</v>
      </c>
    </row>
    <row r="80" spans="1:2" x14ac:dyDescent="0.3">
      <c r="A80" s="4">
        <v>42887</v>
      </c>
      <c r="B80">
        <v>64.966385000000002</v>
      </c>
    </row>
    <row r="81" spans="1:2" x14ac:dyDescent="0.3">
      <c r="A81" s="4">
        <v>42917</v>
      </c>
      <c r="B81">
        <v>68.519592000000003</v>
      </c>
    </row>
    <row r="82" spans="1:2" x14ac:dyDescent="0.3">
      <c r="A82" s="4">
        <v>42948</v>
      </c>
      <c r="B82">
        <v>70.470551</v>
      </c>
    </row>
    <row r="83" spans="1:2" x14ac:dyDescent="0.3">
      <c r="A83" s="4">
        <v>42979</v>
      </c>
      <c r="B83">
        <v>70.580719000000002</v>
      </c>
    </row>
    <row r="84" spans="1:2" x14ac:dyDescent="0.3">
      <c r="A84" s="4">
        <v>43009</v>
      </c>
      <c r="B84">
        <v>78.814667</v>
      </c>
    </row>
    <row r="85" spans="1:2" x14ac:dyDescent="0.3">
      <c r="A85" s="4">
        <v>43040</v>
      </c>
      <c r="B85">
        <v>79.752701000000002</v>
      </c>
    </row>
    <row r="86" spans="1:2" x14ac:dyDescent="0.3">
      <c r="A86" s="4">
        <v>43070</v>
      </c>
      <c r="B86">
        <v>81.457863000000003</v>
      </c>
    </row>
    <row r="87" spans="1:2" x14ac:dyDescent="0.3">
      <c r="A87" s="4">
        <v>43101</v>
      </c>
      <c r="B87">
        <v>90.475914000000003</v>
      </c>
    </row>
    <row r="88" spans="1:2" x14ac:dyDescent="0.3">
      <c r="A88" s="4">
        <v>43132</v>
      </c>
      <c r="B88">
        <v>89.295113000000001</v>
      </c>
    </row>
    <row r="89" spans="1:2" x14ac:dyDescent="0.3">
      <c r="A89" s="4">
        <v>43160</v>
      </c>
      <c r="B89">
        <v>87.322685000000007</v>
      </c>
    </row>
    <row r="90" spans="1:2" x14ac:dyDescent="0.3">
      <c r="A90" s="4">
        <v>43191</v>
      </c>
      <c r="B90">
        <v>89.475357000000002</v>
      </c>
    </row>
    <row r="91" spans="1:2" x14ac:dyDescent="0.3">
      <c r="A91" s="4">
        <v>43221</v>
      </c>
      <c r="B91">
        <v>94.565276999999995</v>
      </c>
    </row>
    <row r="92" spans="1:2" x14ac:dyDescent="0.3">
      <c r="A92" s="4">
        <v>43252</v>
      </c>
      <c r="B92">
        <v>94.754149999999996</v>
      </c>
    </row>
    <row r="93" spans="1:2" x14ac:dyDescent="0.3">
      <c r="A93" s="4">
        <v>43282</v>
      </c>
      <c r="B93">
        <v>101.93208300000001</v>
      </c>
    </row>
    <row r="94" spans="1:2" x14ac:dyDescent="0.3">
      <c r="A94" s="4">
        <v>43313</v>
      </c>
      <c r="B94">
        <v>107.93768300000001</v>
      </c>
    </row>
    <row r="95" spans="1:2" x14ac:dyDescent="0.3">
      <c r="A95" s="4">
        <v>43344</v>
      </c>
      <c r="B95">
        <v>110.32083900000001</v>
      </c>
    </row>
    <row r="96" spans="1:2" x14ac:dyDescent="0.3">
      <c r="A96" s="4">
        <v>43374</v>
      </c>
      <c r="B96">
        <v>103.028481</v>
      </c>
    </row>
    <row r="97" spans="1:2" x14ac:dyDescent="0.3">
      <c r="A97" s="4">
        <v>43405</v>
      </c>
      <c r="B97">
        <v>106.96405</v>
      </c>
    </row>
    <row r="98" spans="1:2" x14ac:dyDescent="0.3">
      <c r="A98" s="4">
        <v>43435</v>
      </c>
      <c r="B98">
        <v>98.397255000000001</v>
      </c>
    </row>
    <row r="99" spans="1:2" x14ac:dyDescent="0.3">
      <c r="A99" s="4">
        <v>43466</v>
      </c>
      <c r="B99">
        <v>101.167923</v>
      </c>
    </row>
    <row r="100" spans="1:2" x14ac:dyDescent="0.3">
      <c r="A100" s="4">
        <v>43497</v>
      </c>
      <c r="B100">
        <v>108.530525</v>
      </c>
    </row>
    <row r="101" spans="1:2" x14ac:dyDescent="0.3">
      <c r="A101" s="4">
        <v>43525</v>
      </c>
      <c r="B101">
        <v>114.743881</v>
      </c>
    </row>
    <row r="102" spans="1:2" x14ac:dyDescent="0.3">
      <c r="A102" s="4">
        <v>43556</v>
      </c>
      <c r="B102">
        <v>127.06081399999999</v>
      </c>
    </row>
    <row r="103" spans="1:2" x14ac:dyDescent="0.3">
      <c r="A103" s="4">
        <v>43586</v>
      </c>
      <c r="B103">
        <v>120.328323</v>
      </c>
    </row>
    <row r="104" spans="1:2" x14ac:dyDescent="0.3">
      <c r="A104" s="4">
        <v>43617</v>
      </c>
      <c r="B104">
        <v>130.81218000000001</v>
      </c>
    </row>
    <row r="105" spans="1:2" x14ac:dyDescent="0.3">
      <c r="A105" s="4">
        <v>43647</v>
      </c>
      <c r="B105">
        <v>133.067871</v>
      </c>
    </row>
    <row r="106" spans="1:2" x14ac:dyDescent="0.3">
      <c r="A106" s="4">
        <v>43678</v>
      </c>
      <c r="B106">
        <v>134.62051400000001</v>
      </c>
    </row>
    <row r="107" spans="1:2" x14ac:dyDescent="0.3">
      <c r="A107" s="4">
        <v>43709</v>
      </c>
      <c r="B107">
        <v>136.21513400000001</v>
      </c>
    </row>
    <row r="108" spans="1:2" x14ac:dyDescent="0.3">
      <c r="A108" s="4">
        <v>43739</v>
      </c>
      <c r="B108">
        <v>140.46722399999999</v>
      </c>
    </row>
    <row r="109" spans="1:2" x14ac:dyDescent="0.3">
      <c r="A109" s="4">
        <v>43770</v>
      </c>
      <c r="B109">
        <v>148.31509399999999</v>
      </c>
    </row>
    <row r="110" spans="1:2" x14ac:dyDescent="0.3">
      <c r="A110" s="4">
        <v>43800</v>
      </c>
      <c r="B110">
        <v>155.03285199999999</v>
      </c>
    </row>
    <row r="111" spans="1:2" x14ac:dyDescent="0.3">
      <c r="A111" s="4">
        <v>43831</v>
      </c>
      <c r="B111">
        <v>167.350922</v>
      </c>
    </row>
    <row r="112" spans="1:2" x14ac:dyDescent="0.3">
      <c r="A112" s="4">
        <v>43862</v>
      </c>
      <c r="B112">
        <v>159.26994300000001</v>
      </c>
    </row>
    <row r="113" spans="1:2" x14ac:dyDescent="0.3">
      <c r="A113" s="4">
        <v>43891</v>
      </c>
      <c r="B113">
        <v>155.466171</v>
      </c>
    </row>
    <row r="114" spans="1:2" x14ac:dyDescent="0.3">
      <c r="A114" s="4">
        <v>43922</v>
      </c>
      <c r="B114">
        <v>176.66029399999999</v>
      </c>
    </row>
    <row r="115" spans="1:2" x14ac:dyDescent="0.3">
      <c r="A115" s="4">
        <v>43952</v>
      </c>
      <c r="B115">
        <v>180.642807</v>
      </c>
    </row>
    <row r="116" spans="1:2" x14ac:dyDescent="0.3">
      <c r="A116" s="4">
        <v>43983</v>
      </c>
      <c r="B116">
        <v>201.17326399999999</v>
      </c>
    </row>
    <row r="117" spans="1:2" x14ac:dyDescent="0.3">
      <c r="A117" s="4">
        <v>44013</v>
      </c>
      <c r="B117">
        <v>202.656036</v>
      </c>
    </row>
    <row r="118" spans="1:2" x14ac:dyDescent="0.3">
      <c r="A118" s="4">
        <v>44044</v>
      </c>
      <c r="B118">
        <v>222.94044500000001</v>
      </c>
    </row>
    <row r="119" spans="1:2" x14ac:dyDescent="0.3">
      <c r="A119" s="4">
        <v>44075</v>
      </c>
      <c r="B119">
        <v>208.41755699999999</v>
      </c>
    </row>
    <row r="120" spans="1:2" x14ac:dyDescent="0.3">
      <c r="A120" s="4">
        <v>44105</v>
      </c>
      <c r="B120">
        <v>200.62902800000001</v>
      </c>
    </row>
    <row r="121" spans="1:2" x14ac:dyDescent="0.3">
      <c r="A121" s="4">
        <v>44136</v>
      </c>
      <c r="B121">
        <v>212.12356600000001</v>
      </c>
    </row>
    <row r="122" spans="1:2" x14ac:dyDescent="0.3">
      <c r="A122" s="4">
        <v>44166</v>
      </c>
      <c r="B122">
        <v>220.97463999999999</v>
      </c>
    </row>
    <row r="123" spans="1:2" x14ac:dyDescent="0.3">
      <c r="A123" s="4">
        <v>44197</v>
      </c>
      <c r="B123">
        <v>230.45263700000001</v>
      </c>
    </row>
    <row r="124" spans="1:2" x14ac:dyDescent="0.3">
      <c r="A124" s="4">
        <v>44228</v>
      </c>
      <c r="B124">
        <v>230.86991900000001</v>
      </c>
    </row>
    <row r="125" spans="1:2" x14ac:dyDescent="0.3">
      <c r="A125" s="4">
        <v>44256</v>
      </c>
      <c r="B125">
        <v>234.77737400000001</v>
      </c>
    </row>
    <row r="126" spans="1:2" x14ac:dyDescent="0.3">
      <c r="A126" s="4">
        <v>44287</v>
      </c>
      <c r="B126">
        <v>251.11827099999999</v>
      </c>
    </row>
    <row r="127" spans="1:2" x14ac:dyDescent="0.3">
      <c r="A127" s="4">
        <v>44317</v>
      </c>
      <c r="B127">
        <v>248.62879899999999</v>
      </c>
    </row>
    <row r="128" spans="1:2" x14ac:dyDescent="0.3">
      <c r="A128" s="4">
        <v>44348</v>
      </c>
      <c r="B128">
        <v>270.382385</v>
      </c>
    </row>
    <row r="129" spans="1:2" x14ac:dyDescent="0.3">
      <c r="A129" s="4">
        <v>44378</v>
      </c>
      <c r="B129">
        <v>284.36560100000003</v>
      </c>
    </row>
    <row r="130" spans="1:2" x14ac:dyDescent="0.3">
      <c r="A130" s="4">
        <v>44409</v>
      </c>
      <c r="B130">
        <v>301.30319200000002</v>
      </c>
    </row>
    <row r="131" spans="1:2" x14ac:dyDescent="0.3">
      <c r="A131" s="4">
        <v>44440</v>
      </c>
      <c r="B131">
        <v>300.17999300000002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D71DF-1E13-4A3C-9839-0A0A2E64D9CB}">
  <sheetPr codeName="XLSTAT_20211005_171642_1_HID">
    <tabColor rgb="FF007800"/>
  </sheetPr>
  <dimension ref="A1:H70"/>
  <sheetViews>
    <sheetView workbookViewId="0"/>
  </sheetViews>
  <sheetFormatPr baseColWidth="10" defaultColWidth="8.88671875" defaultRowHeight="14.4" x14ac:dyDescent="0.3"/>
  <sheetData>
    <row r="1" spans="1:8" x14ac:dyDescent="0.3">
      <c r="A1">
        <v>1</v>
      </c>
      <c r="C1">
        <f t="shared" ref="C1:C32" si="0">60.1570339499017+(A1-1)*1.57993120565205</f>
        <v>60.157033949901702</v>
      </c>
      <c r="D1">
        <f t="shared" ref="D1:D32" si="1">0+1*C1-23.4309111818125*(1.0042194092827+(C1-101.308016877637)^2/56239.5163674555)^0.5</f>
        <v>36.327325318919023</v>
      </c>
      <c r="E1">
        <v>1</v>
      </c>
      <c r="G1">
        <f t="shared" ref="G1:G32" si="2">50.6123924522294+(E1-1)*1.71825934329948</f>
        <v>50.6123924522294</v>
      </c>
      <c r="H1">
        <f t="shared" ref="H1:H32" si="3">0+1*G1+23.4309111818125*(1.0042194092827+(G1-101.308016877637)^2/56239.5163674555)^0.5</f>
        <v>74.620990118763387</v>
      </c>
    </row>
    <row r="2" spans="1:8" x14ac:dyDescent="0.3">
      <c r="A2">
        <v>2</v>
      </c>
      <c r="C2">
        <f t="shared" si="0"/>
        <v>61.736965155553754</v>
      </c>
      <c r="D2">
        <f t="shared" si="1"/>
        <v>37.933393574385789</v>
      </c>
      <c r="E2">
        <v>2</v>
      </c>
      <c r="G2">
        <f t="shared" si="2"/>
        <v>52.33065179552888</v>
      </c>
      <c r="H2">
        <f t="shared" si="3"/>
        <v>76.304405988336185</v>
      </c>
    </row>
    <row r="3" spans="1:8" x14ac:dyDescent="0.3">
      <c r="A3">
        <v>3</v>
      </c>
      <c r="C3">
        <f t="shared" si="0"/>
        <v>63.316896361205799</v>
      </c>
      <c r="D3">
        <f t="shared" si="1"/>
        <v>39.538465760256457</v>
      </c>
      <c r="E3">
        <v>3</v>
      </c>
      <c r="G3">
        <f t="shared" si="2"/>
        <v>54.048911138828359</v>
      </c>
      <c r="H3">
        <f t="shared" si="3"/>
        <v>77.988975068688802</v>
      </c>
    </row>
    <row r="4" spans="1:8" x14ac:dyDescent="0.3">
      <c r="A4">
        <v>4</v>
      </c>
      <c r="C4">
        <f t="shared" si="0"/>
        <v>64.896827566857851</v>
      </c>
      <c r="D4">
        <f t="shared" si="1"/>
        <v>41.142538713880995</v>
      </c>
      <c r="E4">
        <v>4</v>
      </c>
      <c r="G4">
        <f t="shared" si="2"/>
        <v>55.767170482127838</v>
      </c>
      <c r="H4">
        <f t="shared" si="3"/>
        <v>79.674702235102174</v>
      </c>
    </row>
    <row r="5" spans="1:8" x14ac:dyDescent="0.3">
      <c r="A5">
        <v>5</v>
      </c>
      <c r="C5">
        <f t="shared" si="0"/>
        <v>66.476758772509896</v>
      </c>
      <c r="D5">
        <f t="shared" si="1"/>
        <v>42.745609385696028</v>
      </c>
      <c r="E5">
        <v>5</v>
      </c>
      <c r="G5">
        <f t="shared" si="2"/>
        <v>57.485429825427317</v>
      </c>
      <c r="H5">
        <f t="shared" si="3"/>
        <v>81.361592221385351</v>
      </c>
    </row>
    <row r="6" spans="1:8" x14ac:dyDescent="0.3">
      <c r="A6">
        <v>6</v>
      </c>
      <c r="C6">
        <f t="shared" si="0"/>
        <v>68.056689978161955</v>
      </c>
      <c r="D6">
        <f t="shared" si="1"/>
        <v>44.347674841087795</v>
      </c>
      <c r="E6">
        <v>6</v>
      </c>
      <c r="G6">
        <f t="shared" si="2"/>
        <v>59.203689168726797</v>
      </c>
      <c r="H6">
        <f t="shared" si="3"/>
        <v>83.049649616606814</v>
      </c>
    </row>
    <row r="7" spans="1:8" x14ac:dyDescent="0.3">
      <c r="A7">
        <v>7</v>
      </c>
      <c r="C7">
        <f t="shared" si="0"/>
        <v>69.636621183814</v>
      </c>
      <c r="D7">
        <f t="shared" si="1"/>
        <v>45.94873226219697</v>
      </c>
      <c r="E7">
        <v>7</v>
      </c>
      <c r="G7">
        <f t="shared" si="2"/>
        <v>60.921948512026276</v>
      </c>
      <c r="H7">
        <f t="shared" si="3"/>
        <v>84.738878861896495</v>
      </c>
    </row>
    <row r="8" spans="1:8" x14ac:dyDescent="0.3">
      <c r="A8">
        <v>8</v>
      </c>
      <c r="C8">
        <f t="shared" si="0"/>
        <v>71.216552389466045</v>
      </c>
      <c r="D8">
        <f t="shared" si="1"/>
        <v>47.548778949663102</v>
      </c>
      <c r="E8">
        <v>8</v>
      </c>
      <c r="G8">
        <f t="shared" si="2"/>
        <v>62.640207855325762</v>
      </c>
      <c r="H8">
        <f t="shared" si="3"/>
        <v>86.429284247323267</v>
      </c>
    </row>
    <row r="9" spans="1:8" x14ac:dyDescent="0.3">
      <c r="A9">
        <v>9</v>
      </c>
      <c r="C9">
        <f t="shared" si="0"/>
        <v>72.796483595118104</v>
      </c>
      <c r="D9">
        <f t="shared" si="1"/>
        <v>49.147812324305953</v>
      </c>
      <c r="E9">
        <v>9</v>
      </c>
      <c r="G9">
        <f t="shared" si="2"/>
        <v>64.358467198625235</v>
      </c>
      <c r="H9">
        <f t="shared" si="3"/>
        <v>88.120869908852796</v>
      </c>
    </row>
    <row r="10" spans="1:8" x14ac:dyDescent="0.3">
      <c r="A10">
        <v>10</v>
      </c>
      <c r="C10">
        <f t="shared" si="0"/>
        <v>74.376414800770149</v>
      </c>
      <c r="D10">
        <f t="shared" si="1"/>
        <v>50.745829928741486</v>
      </c>
      <c r="E10">
        <v>10</v>
      </c>
      <c r="G10">
        <f t="shared" si="2"/>
        <v>66.076726541924714</v>
      </c>
      <c r="H10">
        <f t="shared" si="3"/>
        <v>89.813639825390638</v>
      </c>
    </row>
    <row r="11" spans="1:8" x14ac:dyDescent="0.3">
      <c r="A11">
        <v>11</v>
      </c>
      <c r="C11">
        <f t="shared" si="0"/>
        <v>75.956346006422208</v>
      </c>
      <c r="D11">
        <f t="shared" si="1"/>
        <v>52.34282942893033</v>
      </c>
      <c r="E11">
        <v>11</v>
      </c>
      <c r="G11">
        <f t="shared" si="2"/>
        <v>67.794985885224207</v>
      </c>
      <c r="H11">
        <f t="shared" si="3"/>
        <v>91.507597815915119</v>
      </c>
    </row>
    <row r="12" spans="1:8" x14ac:dyDescent="0.3">
      <c r="A12">
        <v>12</v>
      </c>
      <c r="C12">
        <f t="shared" si="0"/>
        <v>77.536277212074253</v>
      </c>
      <c r="D12">
        <f t="shared" si="1"/>
        <v>53.938808615656185</v>
      </c>
      <c r="E12">
        <v>12</v>
      </c>
      <c r="G12">
        <f t="shared" si="2"/>
        <v>69.513245228523687</v>
      </c>
      <c r="H12">
        <f t="shared" si="3"/>
        <v>93.202747536704862</v>
      </c>
    </row>
    <row r="13" spans="1:8" x14ac:dyDescent="0.3">
      <c r="A13">
        <v>13</v>
      </c>
      <c r="C13">
        <f t="shared" si="0"/>
        <v>79.116208417726298</v>
      </c>
      <c r="D13">
        <f t="shared" si="1"/>
        <v>55.533765405932343</v>
      </c>
      <c r="E13">
        <v>13</v>
      </c>
      <c r="G13">
        <f t="shared" si="2"/>
        <v>71.231504571823166</v>
      </c>
      <c r="H13">
        <f t="shared" si="3"/>
        <v>94.899092478665537</v>
      </c>
    </row>
    <row r="14" spans="1:8" x14ac:dyDescent="0.3">
      <c r="A14">
        <v>14</v>
      </c>
      <c r="C14">
        <f t="shared" si="0"/>
        <v>80.696139623378357</v>
      </c>
      <c r="D14">
        <f t="shared" si="1"/>
        <v>57.12769784433403</v>
      </c>
      <c r="E14">
        <v>14</v>
      </c>
      <c r="G14">
        <f t="shared" si="2"/>
        <v>72.949763915122645</v>
      </c>
      <c r="H14">
        <f t="shared" si="3"/>
        <v>96.596635964759869</v>
      </c>
    </row>
    <row r="15" spans="1:8" x14ac:dyDescent="0.3">
      <c r="A15">
        <v>15</v>
      </c>
      <c r="C15">
        <f t="shared" si="0"/>
        <v>82.276070829030402</v>
      </c>
      <c r="D15">
        <f t="shared" si="1"/>
        <v>58.720604104254718</v>
      </c>
      <c r="E15">
        <v>15</v>
      </c>
      <c r="G15">
        <f t="shared" si="2"/>
        <v>74.668023258422124</v>
      </c>
      <c r="H15">
        <f t="shared" si="3"/>
        <v>98.295381147545712</v>
      </c>
    </row>
    <row r="16" spans="1:8" x14ac:dyDescent="0.3">
      <c r="A16">
        <v>16</v>
      </c>
      <c r="C16">
        <f t="shared" si="0"/>
        <v>83.856002034682461</v>
      </c>
      <c r="D16">
        <f t="shared" si="1"/>
        <v>60.312482489084658</v>
      </c>
      <c r="E16">
        <v>16</v>
      </c>
      <c r="G16">
        <f t="shared" si="2"/>
        <v>76.386282601721604</v>
      </c>
      <c r="H16">
        <f t="shared" si="3"/>
        <v>99.99533100682595</v>
      </c>
    </row>
    <row r="17" spans="1:8" x14ac:dyDescent="0.3">
      <c r="A17">
        <v>17</v>
      </c>
      <c r="C17">
        <f t="shared" si="0"/>
        <v>85.435933240334506</v>
      </c>
      <c r="D17">
        <f t="shared" si="1"/>
        <v>61.903331433309489</v>
      </c>
      <c r="E17">
        <v>17</v>
      </c>
      <c r="G17">
        <f t="shared" si="2"/>
        <v>78.104541945021083</v>
      </c>
      <c r="H17">
        <f t="shared" si="3"/>
        <v>101.69648834741447</v>
      </c>
    </row>
    <row r="18" spans="1:8" x14ac:dyDescent="0.3">
      <c r="A18">
        <v>18</v>
      </c>
      <c r="C18">
        <f t="shared" si="0"/>
        <v>87.015864445986551</v>
      </c>
      <c r="D18">
        <f t="shared" si="1"/>
        <v>63.493149503527889</v>
      </c>
      <c r="E18">
        <v>18</v>
      </c>
      <c r="G18">
        <f t="shared" si="2"/>
        <v>79.822801288320562</v>
      </c>
      <c r="H18">
        <f t="shared" si="3"/>
        <v>103.39885579702192</v>
      </c>
    </row>
    <row r="19" spans="1:8" x14ac:dyDescent="0.3">
      <c r="A19">
        <v>19</v>
      </c>
      <c r="C19">
        <f t="shared" si="0"/>
        <v>88.59579565163861</v>
      </c>
      <c r="D19">
        <f t="shared" si="1"/>
        <v>65.08193539938614</v>
      </c>
      <c r="E19">
        <v>19</v>
      </c>
      <c r="G19">
        <f t="shared" si="2"/>
        <v>81.541060631620041</v>
      </c>
      <c r="H19">
        <f t="shared" si="3"/>
        <v>105.10243580426493</v>
      </c>
    </row>
    <row r="20" spans="1:8" x14ac:dyDescent="0.3">
      <c r="A20">
        <v>20</v>
      </c>
      <c r="C20">
        <f t="shared" si="0"/>
        <v>90.175726857290655</v>
      </c>
      <c r="D20">
        <f t="shared" si="1"/>
        <v>66.669687954428497</v>
      </c>
      <c r="E20">
        <v>20</v>
      </c>
      <c r="G20">
        <f t="shared" si="2"/>
        <v>83.259319974919521</v>
      </c>
      <c r="H20">
        <f t="shared" si="3"/>
        <v>106.80723063680222</v>
      </c>
    </row>
    <row r="21" spans="1:8" x14ac:dyDescent="0.3">
      <c r="A21">
        <v>21</v>
      </c>
      <c r="C21">
        <f t="shared" si="0"/>
        <v>91.7556580629427</v>
      </c>
      <c r="D21">
        <f t="shared" si="1"/>
        <v>68.256406136862182</v>
      </c>
      <c r="E21">
        <v>21</v>
      </c>
      <c r="G21">
        <f t="shared" si="2"/>
        <v>84.977579318219</v>
      </c>
      <c r="H21">
        <f t="shared" si="3"/>
        <v>108.51324237960105</v>
      </c>
    </row>
    <row r="22" spans="1:8" x14ac:dyDescent="0.3">
      <c r="A22">
        <v>22</v>
      </c>
      <c r="C22">
        <f t="shared" si="0"/>
        <v>93.335589268594759</v>
      </c>
      <c r="D22">
        <f t="shared" si="1"/>
        <v>69.842089050235472</v>
      </c>
      <c r="E22">
        <v>22</v>
      </c>
      <c r="G22">
        <f t="shared" si="2"/>
        <v>86.695838661518479</v>
      </c>
      <c r="H22">
        <f t="shared" si="3"/>
        <v>110.22047293333686</v>
      </c>
    </row>
    <row r="23" spans="1:8" x14ac:dyDescent="0.3">
      <c r="A23">
        <v>23</v>
      </c>
      <c r="C23">
        <f t="shared" si="0"/>
        <v>94.915520474246804</v>
      </c>
      <c r="D23">
        <f t="shared" si="1"/>
        <v>71.426735934028102</v>
      </c>
      <c r="E23">
        <v>23</v>
      </c>
      <c r="G23">
        <f t="shared" si="2"/>
        <v>88.414098004817959</v>
      </c>
      <c r="H23">
        <f t="shared" si="3"/>
        <v>111.92892401292897</v>
      </c>
    </row>
    <row r="24" spans="1:8" x14ac:dyDescent="0.3">
      <c r="A24">
        <v>24</v>
      </c>
      <c r="C24">
        <f t="shared" si="0"/>
        <v>96.495451679898849</v>
      </c>
      <c r="D24">
        <f t="shared" si="1"/>
        <v>73.010346164153219</v>
      </c>
      <c r="E24">
        <v>24</v>
      </c>
      <c r="G24">
        <f t="shared" si="2"/>
        <v>90.132357348117438</v>
      </c>
      <c r="H24">
        <f t="shared" si="3"/>
        <v>113.63859714621506</v>
      </c>
    </row>
    <row r="25" spans="1:8" x14ac:dyDescent="0.3">
      <c r="A25">
        <v>25</v>
      </c>
      <c r="C25">
        <f t="shared" si="0"/>
        <v>98.075382885550908</v>
      </c>
      <c r="D25">
        <f t="shared" si="1"/>
        <v>74.592919253369686</v>
      </c>
      <c r="E25">
        <v>25</v>
      </c>
      <c r="G25">
        <f t="shared" si="2"/>
        <v>91.850616691416917</v>
      </c>
      <c r="H25">
        <f t="shared" si="3"/>
        <v>115.34949367276681</v>
      </c>
    </row>
    <row r="26" spans="1:8" x14ac:dyDescent="0.3">
      <c r="A26">
        <v>26</v>
      </c>
      <c r="C26">
        <f t="shared" si="0"/>
        <v>99.655314091202953</v>
      </c>
      <c r="D26">
        <f t="shared" si="1"/>
        <v>76.174454851604381</v>
      </c>
      <c r="E26">
        <v>26</v>
      </c>
      <c r="G26">
        <f t="shared" si="2"/>
        <v>93.568876034716396</v>
      </c>
      <c r="H26">
        <f t="shared" si="3"/>
        <v>117.06161474284869</v>
      </c>
    </row>
    <row r="27" spans="1:8" x14ac:dyDescent="0.3">
      <c r="A27">
        <v>27</v>
      </c>
      <c r="C27">
        <f t="shared" si="0"/>
        <v>101.235245296855</v>
      </c>
      <c r="D27">
        <f t="shared" si="1"/>
        <v>77.754952746184145</v>
      </c>
      <c r="E27">
        <v>27</v>
      </c>
      <c r="G27">
        <f t="shared" si="2"/>
        <v>95.287135378015876</v>
      </c>
      <c r="H27">
        <f t="shared" si="3"/>
        <v>118.7749613165218</v>
      </c>
    </row>
    <row r="28" spans="1:8" x14ac:dyDescent="0.3">
      <c r="A28">
        <v>28</v>
      </c>
      <c r="C28">
        <f t="shared" si="0"/>
        <v>102.81517650250706</v>
      </c>
      <c r="D28">
        <f t="shared" si="1"/>
        <v>79.334412861976631</v>
      </c>
      <c r="E28">
        <v>28</v>
      </c>
      <c r="G28">
        <f t="shared" si="2"/>
        <v>97.005394721315355</v>
      </c>
      <c r="H28">
        <f t="shared" si="3"/>
        <v>120.48953416289461</v>
      </c>
    </row>
    <row r="29" spans="1:8" x14ac:dyDescent="0.3">
      <c r="A29">
        <v>29</v>
      </c>
      <c r="C29">
        <f t="shared" si="0"/>
        <v>104.3951077081591</v>
      </c>
      <c r="D29">
        <f t="shared" si="1"/>
        <v>80.912835261440009</v>
      </c>
      <c r="E29">
        <v>29</v>
      </c>
      <c r="G29">
        <f t="shared" si="2"/>
        <v>98.723654064614834</v>
      </c>
      <c r="H29">
        <f t="shared" si="3"/>
        <v>122.20533385952173</v>
      </c>
    </row>
    <row r="30" spans="1:8" x14ac:dyDescent="0.3">
      <c r="A30">
        <v>30</v>
      </c>
      <c r="C30">
        <f t="shared" si="0"/>
        <v>105.97503891381115</v>
      </c>
      <c r="D30">
        <f t="shared" si="1"/>
        <v>82.490220144581755</v>
      </c>
      <c r="E30">
        <v>30</v>
      </c>
      <c r="G30">
        <f t="shared" si="2"/>
        <v>100.44191340791431</v>
      </c>
      <c r="H30">
        <f t="shared" si="3"/>
        <v>123.92236079195179</v>
      </c>
    </row>
    <row r="31" spans="1:8" x14ac:dyDescent="0.3">
      <c r="A31">
        <v>31</v>
      </c>
      <c r="C31">
        <f t="shared" si="0"/>
        <v>107.55497011946321</v>
      </c>
      <c r="D31">
        <f t="shared" si="1"/>
        <v>84.066567848825997</v>
      </c>
      <c r="E31">
        <v>31</v>
      </c>
      <c r="G31">
        <f t="shared" si="2"/>
        <v>102.16017275121379</v>
      </c>
      <c r="H31">
        <f t="shared" si="3"/>
        <v>125.64061515342546</v>
      </c>
    </row>
    <row r="32" spans="1:8" x14ac:dyDescent="0.3">
      <c r="A32">
        <v>32</v>
      </c>
      <c r="C32">
        <f t="shared" si="0"/>
        <v>109.13490132511525</v>
      </c>
      <c r="D32">
        <f t="shared" si="1"/>
        <v>85.641878848790071</v>
      </c>
      <c r="E32">
        <v>32</v>
      </c>
      <c r="G32">
        <f t="shared" si="2"/>
        <v>103.87843209451327</v>
      </c>
      <c r="H32">
        <f t="shared" si="3"/>
        <v>127.36009694472395</v>
      </c>
    </row>
    <row r="33" spans="1:8" x14ac:dyDescent="0.3">
      <c r="A33">
        <v>33</v>
      </c>
      <c r="C33">
        <f t="shared" ref="C33:C64" si="4">60.1570339499017+(A33-1)*1.57993120565205</f>
        <v>110.7148325307673</v>
      </c>
      <c r="D33">
        <f t="shared" ref="D33:D64" si="5">0+1*C33-23.4309111818125*(1.0042194092827+(C33-101.308016877637)^2/56239.5163674555)^0.5</f>
        <v>87.216153755970495</v>
      </c>
      <c r="E33">
        <v>33</v>
      </c>
      <c r="G33">
        <f t="shared" ref="G33:G64" si="6">50.6123924522294+(E33-1)*1.71825934329948</f>
        <v>105.59669143781275</v>
      </c>
      <c r="H33">
        <f t="shared" ref="H33:H64" si="7">0+1*G33+23.4309111818125*(1.0042194092827+(G33-101.308016877637)^2/56239.5163674555)^0.5</f>
        <v>129.08080597416844</v>
      </c>
    </row>
    <row r="34" spans="1:8" x14ac:dyDescent="0.3">
      <c r="A34">
        <v>34</v>
      </c>
      <c r="C34">
        <f t="shared" si="4"/>
        <v>112.29476373641936</v>
      </c>
      <c r="D34">
        <f t="shared" si="5"/>
        <v>88.789393318338924</v>
      </c>
      <c r="E34">
        <v>34</v>
      </c>
      <c r="G34">
        <f t="shared" si="6"/>
        <v>107.31495078111223</v>
      </c>
      <c r="H34">
        <f t="shared" si="7"/>
        <v>130.80274185777031</v>
      </c>
    </row>
    <row r="35" spans="1:8" x14ac:dyDescent="0.3">
      <c r="A35">
        <v>35</v>
      </c>
      <c r="C35">
        <f t="shared" si="4"/>
        <v>113.8746949420714</v>
      </c>
      <c r="D35">
        <f t="shared" si="5"/>
        <v>90.361598419848406</v>
      </c>
      <c r="E35">
        <v>35</v>
      </c>
      <c r="G35">
        <f t="shared" si="6"/>
        <v>109.03321012441171</v>
      </c>
      <c r="H35">
        <f t="shared" si="7"/>
        <v>132.52590401953191</v>
      </c>
    </row>
    <row r="36" spans="1:8" x14ac:dyDescent="0.3">
      <c r="A36">
        <v>36</v>
      </c>
      <c r="C36">
        <f t="shared" si="4"/>
        <v>115.45462614772345</v>
      </c>
      <c r="D36">
        <f t="shared" si="5"/>
        <v>91.932770079851196</v>
      </c>
      <c r="E36">
        <v>36</v>
      </c>
      <c r="G36">
        <f t="shared" si="6"/>
        <v>110.75146946771119</v>
      </c>
      <c r="H36">
        <f t="shared" si="7"/>
        <v>134.25029169189744</v>
      </c>
    </row>
    <row r="37" spans="1:8" x14ac:dyDescent="0.3">
      <c r="A37">
        <v>37</v>
      </c>
      <c r="C37">
        <f t="shared" si="4"/>
        <v>117.0345573533755</v>
      </c>
      <c r="D37">
        <f t="shared" si="5"/>
        <v>93.502909452428526</v>
      </c>
      <c r="E37">
        <v>37</v>
      </c>
      <c r="G37">
        <f t="shared" si="6"/>
        <v>112.46972881101067</v>
      </c>
      <c r="H37">
        <f t="shared" si="7"/>
        <v>135.97590391635302</v>
      </c>
    </row>
    <row r="38" spans="1:8" x14ac:dyDescent="0.3">
      <c r="A38">
        <v>38</v>
      </c>
      <c r="C38">
        <f t="shared" si="4"/>
        <v>118.61448855902756</v>
      </c>
      <c r="D38">
        <f t="shared" si="5"/>
        <v>95.072017825633722</v>
      </c>
      <c r="E38">
        <v>38</v>
      </c>
      <c r="G38">
        <f t="shared" si="6"/>
        <v>114.18798815431015</v>
      </c>
      <c r="H38">
        <f t="shared" si="7"/>
        <v>137.70273954417468</v>
      </c>
    </row>
    <row r="39" spans="1:8" x14ac:dyDescent="0.3">
      <c r="A39">
        <v>39</v>
      </c>
      <c r="C39">
        <f t="shared" si="4"/>
        <v>120.19441976467959</v>
      </c>
      <c r="D39">
        <f t="shared" si="5"/>
        <v>96.640096620649558</v>
      </c>
      <c r="E39">
        <v>39</v>
      </c>
      <c r="G39">
        <f t="shared" si="6"/>
        <v>115.90624749760964</v>
      </c>
      <c r="H39">
        <f t="shared" si="7"/>
        <v>139.43079723732342</v>
      </c>
    </row>
    <row r="40" spans="1:8" x14ac:dyDescent="0.3">
      <c r="A40">
        <v>40</v>
      </c>
      <c r="C40">
        <f t="shared" si="4"/>
        <v>121.77435097033165</v>
      </c>
      <c r="D40">
        <f t="shared" si="5"/>
        <v>98.207147390861493</v>
      </c>
      <c r="E40">
        <v>40</v>
      </c>
      <c r="G40">
        <f t="shared" si="6"/>
        <v>117.62450684090912</v>
      </c>
      <c r="H40">
        <f t="shared" si="7"/>
        <v>141.16007546948515</v>
      </c>
    </row>
    <row r="41" spans="1:8" x14ac:dyDescent="0.3">
      <c r="A41">
        <v>41</v>
      </c>
      <c r="C41">
        <f t="shared" si="4"/>
        <v>123.35428217598371</v>
      </c>
      <c r="D41">
        <f t="shared" si="5"/>
        <v>99.77317182084748</v>
      </c>
      <c r="E41">
        <v>41</v>
      </c>
      <c r="G41">
        <f t="shared" si="6"/>
        <v>119.3427661842086</v>
      </c>
      <c r="H41">
        <f t="shared" si="7"/>
        <v>142.89057252725402</v>
      </c>
    </row>
    <row r="42" spans="1:8" x14ac:dyDescent="0.3">
      <c r="A42">
        <v>42</v>
      </c>
      <c r="C42">
        <f t="shared" si="4"/>
        <v>124.93421338163576</v>
      </c>
      <c r="D42">
        <f t="shared" si="5"/>
        <v>101.33817172528681</v>
      </c>
      <c r="E42">
        <v>42</v>
      </c>
      <c r="G42">
        <f t="shared" si="6"/>
        <v>121.06102552750808</v>
      </c>
      <c r="H42">
        <f t="shared" si="7"/>
        <v>144.62228651145676</v>
      </c>
    </row>
    <row r="43" spans="1:8" x14ac:dyDescent="0.3">
      <c r="A43">
        <v>43</v>
      </c>
      <c r="C43">
        <f t="shared" si="4"/>
        <v>126.5141445872878</v>
      </c>
      <c r="D43">
        <f t="shared" si="5"/>
        <v>102.9021490477889</v>
      </c>
      <c r="E43">
        <v>43</v>
      </c>
      <c r="G43">
        <f t="shared" si="6"/>
        <v>122.77928487080756</v>
      </c>
      <c r="H43">
        <f t="shared" si="7"/>
        <v>146.35521533861575</v>
      </c>
    </row>
    <row r="44" spans="1:8" x14ac:dyDescent="0.3">
      <c r="A44">
        <v>44</v>
      </c>
      <c r="C44">
        <f t="shared" si="4"/>
        <v>128.09407579293986</v>
      </c>
      <c r="D44">
        <f t="shared" si="5"/>
        <v>104.46510585964405</v>
      </c>
      <c r="E44">
        <v>44</v>
      </c>
      <c r="G44">
        <f t="shared" si="6"/>
        <v>124.49754421410704</v>
      </c>
      <c r="H44">
        <f t="shared" si="7"/>
        <v>148.08935674254843</v>
      </c>
    </row>
    <row r="45" spans="1:8" x14ac:dyDescent="0.3">
      <c r="A45">
        <v>45</v>
      </c>
      <c r="C45">
        <f t="shared" si="4"/>
        <v>129.67400699859189</v>
      </c>
      <c r="D45">
        <f t="shared" si="5"/>
        <v>106.02704435849797</v>
      </c>
      <c r="E45">
        <v>45</v>
      </c>
      <c r="G45">
        <f t="shared" si="6"/>
        <v>126.21580355740652</v>
      </c>
      <c r="H45">
        <f t="shared" si="7"/>
        <v>149.82470827609976</v>
      </c>
    </row>
    <row r="46" spans="1:8" x14ac:dyDescent="0.3">
      <c r="A46">
        <v>46</v>
      </c>
      <c r="C46">
        <f t="shared" si="4"/>
        <v>131.25393820424395</v>
      </c>
      <c r="D46">
        <f t="shared" si="5"/>
        <v>107.58796686695213</v>
      </c>
      <c r="E46">
        <v>46</v>
      </c>
      <c r="G46">
        <f t="shared" si="6"/>
        <v>127.934062900706</v>
      </c>
      <c r="H46">
        <f t="shared" si="7"/>
        <v>151.56126731300495</v>
      </c>
    </row>
    <row r="47" spans="1:8" x14ac:dyDescent="0.3">
      <c r="A47">
        <v>47</v>
      </c>
      <c r="C47">
        <f t="shared" si="4"/>
        <v>132.83386940989601</v>
      </c>
      <c r="D47">
        <f t="shared" si="5"/>
        <v>109.14787583109174</v>
      </c>
      <c r="E47">
        <v>47</v>
      </c>
      <c r="G47">
        <f t="shared" si="6"/>
        <v>129.65232224400546</v>
      </c>
      <c r="H47">
        <f t="shared" si="7"/>
        <v>153.29903104987943</v>
      </c>
    </row>
    <row r="48" spans="1:8" x14ac:dyDescent="0.3">
      <c r="A48">
        <v>48</v>
      </c>
      <c r="C48">
        <f t="shared" si="4"/>
        <v>134.41380061554804</v>
      </c>
      <c r="D48">
        <f t="shared" si="5"/>
        <v>110.70677381894369</v>
      </c>
      <c r="E48">
        <v>48</v>
      </c>
      <c r="G48">
        <f t="shared" si="6"/>
        <v>131.37058158730497</v>
      </c>
      <c r="H48">
        <f t="shared" si="7"/>
        <v>155.03799650833187</v>
      </c>
    </row>
    <row r="49" spans="1:8" x14ac:dyDescent="0.3">
      <c r="A49">
        <v>49</v>
      </c>
      <c r="C49">
        <f t="shared" si="4"/>
        <v>135.9937318212001</v>
      </c>
      <c r="D49">
        <f t="shared" si="5"/>
        <v>112.26466351886687</v>
      </c>
      <c r="E49">
        <v>49</v>
      </c>
      <c r="G49">
        <f t="shared" si="6"/>
        <v>133.08884093060442</v>
      </c>
      <c r="H49">
        <f t="shared" si="7"/>
        <v>156.77816053719741</v>
      </c>
    </row>
    <row r="50" spans="1:8" x14ac:dyDescent="0.3">
      <c r="A50">
        <v>50</v>
      </c>
      <c r="C50">
        <f t="shared" si="4"/>
        <v>137.57366302685216</v>
      </c>
      <c r="D50">
        <f t="shared" si="5"/>
        <v>113.82154773787643</v>
      </c>
      <c r="E50">
        <v>50</v>
      </c>
      <c r="G50">
        <f t="shared" si="6"/>
        <v>134.80710027390393</v>
      </c>
      <c r="H50">
        <f t="shared" si="7"/>
        <v>158.51951981488682</v>
      </c>
    </row>
    <row r="51" spans="1:8" x14ac:dyDescent="0.3">
      <c r="A51">
        <v>51</v>
      </c>
      <c r="C51">
        <f t="shared" si="4"/>
        <v>139.15359423250419</v>
      </c>
      <c r="D51">
        <f t="shared" si="5"/>
        <v>115.37742939990528</v>
      </c>
      <c r="E51">
        <v>51</v>
      </c>
      <c r="G51">
        <f t="shared" si="6"/>
        <v>136.52535961720338</v>
      </c>
      <c r="H51">
        <f t="shared" si="7"/>
        <v>160.26207085184745</v>
      </c>
    </row>
    <row r="52" spans="1:8" x14ac:dyDescent="0.3">
      <c r="A52">
        <v>52</v>
      </c>
      <c r="C52">
        <f t="shared" si="4"/>
        <v>140.73352543815625</v>
      </c>
      <c r="D52">
        <f t="shared" si="5"/>
        <v>116.93231154400475</v>
      </c>
      <c r="E52">
        <v>52</v>
      </c>
      <c r="G52">
        <f t="shared" si="6"/>
        <v>138.24361896050289</v>
      </c>
      <c r="H52">
        <f t="shared" si="7"/>
        <v>162.00580999313246</v>
      </c>
    </row>
    <row r="53" spans="1:8" x14ac:dyDescent="0.3">
      <c r="A53">
        <v>53</v>
      </c>
      <c r="C53">
        <f t="shared" si="4"/>
        <v>142.31345664380831</v>
      </c>
      <c r="D53">
        <f t="shared" si="5"/>
        <v>118.48619732248669</v>
      </c>
      <c r="E53">
        <v>53</v>
      </c>
      <c r="G53">
        <f t="shared" si="6"/>
        <v>139.96187830380234</v>
      </c>
      <c r="H53">
        <f t="shared" si="7"/>
        <v>163.75073342107305</v>
      </c>
    </row>
    <row r="54" spans="1:8" x14ac:dyDescent="0.3">
      <c r="A54">
        <v>54</v>
      </c>
      <c r="C54">
        <f t="shared" si="4"/>
        <v>143.89338784946034</v>
      </c>
      <c r="D54">
        <f t="shared" si="5"/>
        <v>120.0390899990103</v>
      </c>
      <c r="E54">
        <v>54</v>
      </c>
      <c r="G54">
        <f t="shared" si="6"/>
        <v>141.68013764710184</v>
      </c>
      <c r="H54">
        <f t="shared" si="7"/>
        <v>165.4968371580506</v>
      </c>
    </row>
    <row r="55" spans="1:8" x14ac:dyDescent="0.3">
      <c r="A55">
        <v>55</v>
      </c>
      <c r="C55">
        <f t="shared" si="4"/>
        <v>145.4733190551124</v>
      </c>
      <c r="D55">
        <f t="shared" si="5"/>
        <v>121.59099294661573</v>
      </c>
      <c r="E55">
        <v>55</v>
      </c>
      <c r="G55">
        <f t="shared" si="6"/>
        <v>143.39839699040132</v>
      </c>
      <c r="H55">
        <f t="shared" si="7"/>
        <v>167.24411706936243</v>
      </c>
    </row>
    <row r="56" spans="1:8" x14ac:dyDescent="0.3">
      <c r="A56">
        <v>56</v>
      </c>
      <c r="C56">
        <f t="shared" si="4"/>
        <v>147.05325026076446</v>
      </c>
      <c r="D56">
        <f t="shared" si="5"/>
        <v>123.14190964570696</v>
      </c>
      <c r="E56">
        <v>56</v>
      </c>
      <c r="G56">
        <f t="shared" si="6"/>
        <v>145.1166563337008</v>
      </c>
      <c r="H56">
        <f t="shared" si="7"/>
        <v>168.99256886617849</v>
      </c>
    </row>
    <row r="57" spans="1:8" x14ac:dyDescent="0.3">
      <c r="A57">
        <v>57</v>
      </c>
      <c r="C57">
        <f t="shared" si="4"/>
        <v>148.63318146641649</v>
      </c>
      <c r="D57">
        <f t="shared" si="5"/>
        <v>124.69184368198735</v>
      </c>
      <c r="E57">
        <v>57</v>
      </c>
      <c r="G57">
        <f t="shared" si="6"/>
        <v>146.83491567700028</v>
      </c>
      <c r="H57">
        <f t="shared" si="7"/>
        <v>170.74218810858255</v>
      </c>
    </row>
    <row r="58" spans="1:8" x14ac:dyDescent="0.3">
      <c r="A58">
        <v>58</v>
      </c>
      <c r="C58">
        <f t="shared" si="4"/>
        <v>150.21311267206855</v>
      </c>
      <c r="D58">
        <f t="shared" si="5"/>
        <v>126.24079874434997</v>
      </c>
      <c r="E58">
        <v>58</v>
      </c>
      <c r="G58">
        <f t="shared" si="6"/>
        <v>148.55317502029976</v>
      </c>
      <c r="H58">
        <f t="shared" si="7"/>
        <v>172.49297020869426</v>
      </c>
    </row>
    <row r="59" spans="1:8" x14ac:dyDescent="0.3">
      <c r="A59">
        <v>59</v>
      </c>
      <c r="C59">
        <f t="shared" si="4"/>
        <v>151.79304387772061</v>
      </c>
      <c r="D59">
        <f t="shared" si="5"/>
        <v>127.7887786227255</v>
      </c>
      <c r="E59">
        <v>59</v>
      </c>
      <c r="G59">
        <f t="shared" si="6"/>
        <v>150.27143436359924</v>
      </c>
      <c r="H59">
        <f t="shared" si="7"/>
        <v>174.24491043386638</v>
      </c>
    </row>
    <row r="60" spans="1:8" x14ac:dyDescent="0.3">
      <c r="A60">
        <v>60</v>
      </c>
      <c r="C60">
        <f t="shared" si="4"/>
        <v>153.37297508337264</v>
      </c>
      <c r="D60">
        <f t="shared" si="5"/>
        <v>129.3357872058908</v>
      </c>
      <c r="E60">
        <v>60</v>
      </c>
      <c r="G60">
        <f t="shared" si="6"/>
        <v>151.98969370689872</v>
      </c>
      <c r="H60">
        <f t="shared" si="7"/>
        <v>175.99800390995298</v>
      </c>
    </row>
    <row r="61" spans="1:8" x14ac:dyDescent="0.3">
      <c r="A61">
        <v>61</v>
      </c>
      <c r="C61">
        <f t="shared" si="4"/>
        <v>154.95290628902472</v>
      </c>
      <c r="D61">
        <f t="shared" si="5"/>
        <v>130.88182847924077</v>
      </c>
      <c r="E61">
        <v>61</v>
      </c>
      <c r="G61">
        <f t="shared" si="6"/>
        <v>153.7079530501982</v>
      </c>
      <c r="H61">
        <f t="shared" si="7"/>
        <v>177.752245624643</v>
      </c>
    </row>
    <row r="62" spans="1:8" x14ac:dyDescent="0.3">
      <c r="A62">
        <v>62</v>
      </c>
      <c r="C62">
        <f t="shared" si="4"/>
        <v>156.53283749467676</v>
      </c>
      <c r="D62">
        <f t="shared" si="5"/>
        <v>132.42690652252577</v>
      </c>
      <c r="E62">
        <v>62</v>
      </c>
      <c r="G62">
        <f t="shared" si="6"/>
        <v>155.42621239349768</v>
      </c>
      <c r="H62">
        <f t="shared" si="7"/>
        <v>179.50763043085453</v>
      </c>
    </row>
    <row r="63" spans="1:8" x14ac:dyDescent="0.3">
      <c r="A63">
        <v>63</v>
      </c>
      <c r="C63">
        <f t="shared" si="4"/>
        <v>158.11276870032879</v>
      </c>
      <c r="D63">
        <f t="shared" si="5"/>
        <v>133.97102550755869</v>
      </c>
      <c r="E63">
        <v>63</v>
      </c>
      <c r="G63">
        <f t="shared" si="6"/>
        <v>157.14447173679716</v>
      </c>
      <c r="H63">
        <f t="shared" si="7"/>
        <v>181.26415305018486</v>
      </c>
    </row>
    <row r="64" spans="1:8" x14ac:dyDescent="0.3">
      <c r="A64">
        <v>64</v>
      </c>
      <c r="C64">
        <f t="shared" si="4"/>
        <v>159.69269990598087</v>
      </c>
      <c r="D64">
        <f t="shared" si="5"/>
        <v>135.51418969589275</v>
      </c>
      <c r="E64">
        <v>64</v>
      </c>
      <c r="G64">
        <f t="shared" si="6"/>
        <v>158.86273108009664</v>
      </c>
      <c r="H64">
        <f t="shared" si="7"/>
        <v>183.02180807641096</v>
      </c>
    </row>
    <row r="65" spans="1:8" x14ac:dyDescent="0.3">
      <c r="A65">
        <v>65</v>
      </c>
      <c r="C65">
        <f t="shared" ref="C65:C70" si="8">60.1570339499017+(A65-1)*1.57993120565205</f>
        <v>161.2726311116329</v>
      </c>
      <c r="D65">
        <f t="shared" ref="D65:D70" si="9">0+1*C65-23.4309111818125*(1.0042194092827+(C65-101.308016877637)^2/56239.5163674555)^0.5</f>
        <v>137.05640343647408</v>
      </c>
      <c r="E65">
        <v>65</v>
      </c>
      <c r="G65">
        <f t="shared" ref="G65:G70" si="10">50.6123924522294+(E65-1)*1.71825934329948</f>
        <v>160.58099042339612</v>
      </c>
      <c r="H65">
        <f t="shared" ref="H65:H70" si="11">0+1*G65+23.4309111818125*(1.0042194092827+(G65-101.308016877637)^2/56239.5163674555)^0.5</f>
        <v>184.78058997903585</v>
      </c>
    </row>
    <row r="66" spans="1:8" x14ac:dyDescent="0.3">
      <c r="A66">
        <v>66</v>
      </c>
      <c r="C66">
        <f t="shared" si="8"/>
        <v>162.85256231728494</v>
      </c>
      <c r="D66">
        <f t="shared" si="9"/>
        <v>138.59767116327149</v>
      </c>
      <c r="E66">
        <v>66</v>
      </c>
      <c r="G66">
        <f t="shared" si="10"/>
        <v>162.2992497666956</v>
      </c>
      <c r="H66">
        <f t="shared" si="11"/>
        <v>186.54049310687529</v>
      </c>
    </row>
    <row r="67" spans="1:8" x14ac:dyDescent="0.3">
      <c r="A67">
        <v>67</v>
      </c>
      <c r="C67">
        <f t="shared" si="8"/>
        <v>164.43249352293702</v>
      </c>
      <c r="D67">
        <f t="shared" si="9"/>
        <v>140.13799739288584</v>
      </c>
      <c r="E67">
        <v>67</v>
      </c>
      <c r="G67">
        <f t="shared" si="10"/>
        <v>164.01750910999507</v>
      </c>
      <c r="H67">
        <f t="shared" si="11"/>
        <v>188.30151169168053</v>
      </c>
    </row>
    <row r="68" spans="1:8" x14ac:dyDescent="0.3">
      <c r="A68">
        <v>68</v>
      </c>
      <c r="C68">
        <f t="shared" si="8"/>
        <v>166.01242472858905</v>
      </c>
      <c r="D68">
        <f t="shared" si="9"/>
        <v>141.67738672214196</v>
      </c>
      <c r="E68">
        <v>68</v>
      </c>
      <c r="G68">
        <f t="shared" si="10"/>
        <v>165.73576845329455</v>
      </c>
      <c r="H68">
        <f t="shared" si="11"/>
        <v>190.06363985179181</v>
      </c>
    </row>
    <row r="69" spans="1:8" x14ac:dyDescent="0.3">
      <c r="A69">
        <v>69</v>
      </c>
      <c r="C69">
        <f t="shared" si="8"/>
        <v>167.59235593424108</v>
      </c>
      <c r="D69">
        <f t="shared" si="9"/>
        <v>143.21584382566624</v>
      </c>
      <c r="E69">
        <v>69</v>
      </c>
      <c r="G69">
        <f t="shared" si="10"/>
        <v>167.45402779659403</v>
      </c>
      <c r="H69">
        <f t="shared" si="11"/>
        <v>191.82687159581752</v>
      </c>
    </row>
    <row r="70" spans="1:8" x14ac:dyDescent="0.3">
      <c r="A70">
        <v>70</v>
      </c>
      <c r="C70">
        <f t="shared" si="8"/>
        <v>169.17228713989317</v>
      </c>
      <c r="D70">
        <f t="shared" si="9"/>
        <v>144.75337345345156</v>
      </c>
      <c r="E70">
        <v>70</v>
      </c>
      <c r="G70">
        <f t="shared" si="10"/>
        <v>169.17228713989351</v>
      </c>
      <c r="H70">
        <f t="shared" si="11"/>
        <v>193.59120082633515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97F47-A50B-4150-B86C-FE2FCF419CAC}">
  <sheetPr codeName="XLSTAT_20211005_171523_1_HID">
    <tabColor rgb="FF007800"/>
  </sheetPr>
  <dimension ref="A1:H70"/>
  <sheetViews>
    <sheetView workbookViewId="0"/>
  </sheetViews>
  <sheetFormatPr baseColWidth="10" defaultColWidth="8.88671875" defaultRowHeight="14.4" x14ac:dyDescent="0.3"/>
  <sheetData>
    <row r="1" spans="1:8" x14ac:dyDescent="0.3">
      <c r="A1">
        <v>1</v>
      </c>
      <c r="C1">
        <f t="shared" ref="C1:C32" si="0">60.1570339499017+(A1-1)*1.57993120565205</f>
        <v>60.157033949901702</v>
      </c>
      <c r="D1">
        <f t="shared" ref="D1:D32" si="1">0+1*C1-23.4309111818125*(1.0042194092827+(C1-101.308016877637)^2/56239.5163674555)^0.5</f>
        <v>36.327325318919023</v>
      </c>
      <c r="E1">
        <v>1</v>
      </c>
      <c r="G1">
        <f t="shared" ref="G1:G32" si="2">50.6123924522294+(E1-1)*1.71825934329948</f>
        <v>50.6123924522294</v>
      </c>
      <c r="H1">
        <f t="shared" ref="H1:H32" si="3">0+1*G1+23.4309111818125*(1.0042194092827+(G1-101.308016877637)^2/56239.5163674555)^0.5</f>
        <v>74.620990118763387</v>
      </c>
    </row>
    <row r="2" spans="1:8" x14ac:dyDescent="0.3">
      <c r="A2">
        <v>2</v>
      </c>
      <c r="C2">
        <f t="shared" si="0"/>
        <v>61.736965155553754</v>
      </c>
      <c r="D2">
        <f t="shared" si="1"/>
        <v>37.933393574385789</v>
      </c>
      <c r="E2">
        <v>2</v>
      </c>
      <c r="G2">
        <f t="shared" si="2"/>
        <v>52.33065179552888</v>
      </c>
      <c r="H2">
        <f t="shared" si="3"/>
        <v>76.304405988336185</v>
      </c>
    </row>
    <row r="3" spans="1:8" x14ac:dyDescent="0.3">
      <c r="A3">
        <v>3</v>
      </c>
      <c r="C3">
        <f t="shared" si="0"/>
        <v>63.316896361205799</v>
      </c>
      <c r="D3">
        <f t="shared" si="1"/>
        <v>39.538465760256457</v>
      </c>
      <c r="E3">
        <v>3</v>
      </c>
      <c r="G3">
        <f t="shared" si="2"/>
        <v>54.048911138828359</v>
      </c>
      <c r="H3">
        <f t="shared" si="3"/>
        <v>77.988975068688802</v>
      </c>
    </row>
    <row r="4" spans="1:8" x14ac:dyDescent="0.3">
      <c r="A4">
        <v>4</v>
      </c>
      <c r="C4">
        <f t="shared" si="0"/>
        <v>64.896827566857851</v>
      </c>
      <c r="D4">
        <f t="shared" si="1"/>
        <v>41.142538713880995</v>
      </c>
      <c r="E4">
        <v>4</v>
      </c>
      <c r="G4">
        <f t="shared" si="2"/>
        <v>55.767170482127838</v>
      </c>
      <c r="H4">
        <f t="shared" si="3"/>
        <v>79.674702235102174</v>
      </c>
    </row>
    <row r="5" spans="1:8" x14ac:dyDescent="0.3">
      <c r="A5">
        <v>5</v>
      </c>
      <c r="C5">
        <f t="shared" si="0"/>
        <v>66.476758772509896</v>
      </c>
      <c r="D5">
        <f t="shared" si="1"/>
        <v>42.745609385696028</v>
      </c>
      <c r="E5">
        <v>5</v>
      </c>
      <c r="G5">
        <f t="shared" si="2"/>
        <v>57.485429825427317</v>
      </c>
      <c r="H5">
        <f t="shared" si="3"/>
        <v>81.361592221385351</v>
      </c>
    </row>
    <row r="6" spans="1:8" x14ac:dyDescent="0.3">
      <c r="A6">
        <v>6</v>
      </c>
      <c r="C6">
        <f t="shared" si="0"/>
        <v>68.056689978161955</v>
      </c>
      <c r="D6">
        <f t="shared" si="1"/>
        <v>44.347674841087795</v>
      </c>
      <c r="E6">
        <v>6</v>
      </c>
      <c r="G6">
        <f t="shared" si="2"/>
        <v>59.203689168726797</v>
      </c>
      <c r="H6">
        <f t="shared" si="3"/>
        <v>83.049649616606814</v>
      </c>
    </row>
    <row r="7" spans="1:8" x14ac:dyDescent="0.3">
      <c r="A7">
        <v>7</v>
      </c>
      <c r="C7">
        <f t="shared" si="0"/>
        <v>69.636621183814</v>
      </c>
      <c r="D7">
        <f t="shared" si="1"/>
        <v>45.94873226219697</v>
      </c>
      <c r="E7">
        <v>7</v>
      </c>
      <c r="G7">
        <f t="shared" si="2"/>
        <v>60.921948512026276</v>
      </c>
      <c r="H7">
        <f t="shared" si="3"/>
        <v>84.738878861896495</v>
      </c>
    </row>
    <row r="8" spans="1:8" x14ac:dyDescent="0.3">
      <c r="A8">
        <v>8</v>
      </c>
      <c r="C8">
        <f t="shared" si="0"/>
        <v>71.216552389466045</v>
      </c>
      <c r="D8">
        <f t="shared" si="1"/>
        <v>47.548778949663102</v>
      </c>
      <c r="E8">
        <v>8</v>
      </c>
      <c r="G8">
        <f t="shared" si="2"/>
        <v>62.640207855325762</v>
      </c>
      <c r="H8">
        <f t="shared" si="3"/>
        <v>86.429284247323267</v>
      </c>
    </row>
    <row r="9" spans="1:8" x14ac:dyDescent="0.3">
      <c r="A9">
        <v>9</v>
      </c>
      <c r="C9">
        <f t="shared" si="0"/>
        <v>72.796483595118104</v>
      </c>
      <c r="D9">
        <f t="shared" si="1"/>
        <v>49.147812324305953</v>
      </c>
      <c r="E9">
        <v>9</v>
      </c>
      <c r="G9">
        <f t="shared" si="2"/>
        <v>64.358467198625235</v>
      </c>
      <c r="H9">
        <f t="shared" si="3"/>
        <v>88.120869908852796</v>
      </c>
    </row>
    <row r="10" spans="1:8" x14ac:dyDescent="0.3">
      <c r="A10">
        <v>10</v>
      </c>
      <c r="C10">
        <f t="shared" si="0"/>
        <v>74.376414800770149</v>
      </c>
      <c r="D10">
        <f t="shared" si="1"/>
        <v>50.745829928741486</v>
      </c>
      <c r="E10">
        <v>10</v>
      </c>
      <c r="G10">
        <f t="shared" si="2"/>
        <v>66.076726541924714</v>
      </c>
      <c r="H10">
        <f t="shared" si="3"/>
        <v>89.813639825390638</v>
      </c>
    </row>
    <row r="11" spans="1:8" x14ac:dyDescent="0.3">
      <c r="A11">
        <v>11</v>
      </c>
      <c r="C11">
        <f t="shared" si="0"/>
        <v>75.956346006422208</v>
      </c>
      <c r="D11">
        <f t="shared" si="1"/>
        <v>52.34282942893033</v>
      </c>
      <c r="E11">
        <v>11</v>
      </c>
      <c r="G11">
        <f t="shared" si="2"/>
        <v>67.794985885224207</v>
      </c>
      <c r="H11">
        <f t="shared" si="3"/>
        <v>91.507597815915119</v>
      </c>
    </row>
    <row r="12" spans="1:8" x14ac:dyDescent="0.3">
      <c r="A12">
        <v>12</v>
      </c>
      <c r="C12">
        <f t="shared" si="0"/>
        <v>77.536277212074253</v>
      </c>
      <c r="D12">
        <f t="shared" si="1"/>
        <v>53.938808615656185</v>
      </c>
      <c r="E12">
        <v>12</v>
      </c>
      <c r="G12">
        <f t="shared" si="2"/>
        <v>69.513245228523687</v>
      </c>
      <c r="H12">
        <f t="shared" si="3"/>
        <v>93.202747536704862</v>
      </c>
    </row>
    <row r="13" spans="1:8" x14ac:dyDescent="0.3">
      <c r="A13">
        <v>13</v>
      </c>
      <c r="C13">
        <f t="shared" si="0"/>
        <v>79.116208417726298</v>
      </c>
      <c r="D13">
        <f t="shared" si="1"/>
        <v>55.533765405932343</v>
      </c>
      <c r="E13">
        <v>13</v>
      </c>
      <c r="G13">
        <f t="shared" si="2"/>
        <v>71.231504571823166</v>
      </c>
      <c r="H13">
        <f t="shared" si="3"/>
        <v>94.899092478665537</v>
      </c>
    </row>
    <row r="14" spans="1:8" x14ac:dyDescent="0.3">
      <c r="A14">
        <v>14</v>
      </c>
      <c r="C14">
        <f t="shared" si="0"/>
        <v>80.696139623378357</v>
      </c>
      <c r="D14">
        <f t="shared" si="1"/>
        <v>57.12769784433403</v>
      </c>
      <c r="E14">
        <v>14</v>
      </c>
      <c r="G14">
        <f t="shared" si="2"/>
        <v>72.949763915122645</v>
      </c>
      <c r="H14">
        <f t="shared" si="3"/>
        <v>96.596635964759869</v>
      </c>
    </row>
    <row r="15" spans="1:8" x14ac:dyDescent="0.3">
      <c r="A15">
        <v>15</v>
      </c>
      <c r="C15">
        <f t="shared" si="0"/>
        <v>82.276070829030402</v>
      </c>
      <c r="D15">
        <f t="shared" si="1"/>
        <v>58.720604104254718</v>
      </c>
      <c r="E15">
        <v>15</v>
      </c>
      <c r="G15">
        <f t="shared" si="2"/>
        <v>74.668023258422124</v>
      </c>
      <c r="H15">
        <f t="shared" si="3"/>
        <v>98.295381147545712</v>
      </c>
    </row>
    <row r="16" spans="1:8" x14ac:dyDescent="0.3">
      <c r="A16">
        <v>16</v>
      </c>
      <c r="C16">
        <f t="shared" si="0"/>
        <v>83.856002034682461</v>
      </c>
      <c r="D16">
        <f t="shared" si="1"/>
        <v>60.312482489084658</v>
      </c>
      <c r="E16">
        <v>16</v>
      </c>
      <c r="G16">
        <f t="shared" si="2"/>
        <v>76.386282601721604</v>
      </c>
      <c r="H16">
        <f t="shared" si="3"/>
        <v>99.99533100682595</v>
      </c>
    </row>
    <row r="17" spans="1:8" x14ac:dyDescent="0.3">
      <c r="A17">
        <v>17</v>
      </c>
      <c r="C17">
        <f t="shared" si="0"/>
        <v>85.435933240334506</v>
      </c>
      <c r="D17">
        <f t="shared" si="1"/>
        <v>61.903331433309489</v>
      </c>
      <c r="E17">
        <v>17</v>
      </c>
      <c r="G17">
        <f t="shared" si="2"/>
        <v>78.104541945021083</v>
      </c>
      <c r="H17">
        <f t="shared" si="3"/>
        <v>101.69648834741447</v>
      </c>
    </row>
    <row r="18" spans="1:8" x14ac:dyDescent="0.3">
      <c r="A18">
        <v>18</v>
      </c>
      <c r="C18">
        <f t="shared" si="0"/>
        <v>87.015864445986551</v>
      </c>
      <c r="D18">
        <f t="shared" si="1"/>
        <v>63.493149503527889</v>
      </c>
      <c r="E18">
        <v>18</v>
      </c>
      <c r="G18">
        <f t="shared" si="2"/>
        <v>79.822801288320562</v>
      </c>
      <c r="H18">
        <f t="shared" si="3"/>
        <v>103.39885579702192</v>
      </c>
    </row>
    <row r="19" spans="1:8" x14ac:dyDescent="0.3">
      <c r="A19">
        <v>19</v>
      </c>
      <c r="C19">
        <f t="shared" si="0"/>
        <v>88.59579565163861</v>
      </c>
      <c r="D19">
        <f t="shared" si="1"/>
        <v>65.08193539938614</v>
      </c>
      <c r="E19">
        <v>19</v>
      </c>
      <c r="G19">
        <f t="shared" si="2"/>
        <v>81.541060631620041</v>
      </c>
      <c r="H19">
        <f t="shared" si="3"/>
        <v>105.10243580426493</v>
      </c>
    </row>
    <row r="20" spans="1:8" x14ac:dyDescent="0.3">
      <c r="A20">
        <v>20</v>
      </c>
      <c r="C20">
        <f t="shared" si="0"/>
        <v>90.175726857290655</v>
      </c>
      <c r="D20">
        <f t="shared" si="1"/>
        <v>66.669687954428497</v>
      </c>
      <c r="E20">
        <v>20</v>
      </c>
      <c r="G20">
        <f t="shared" si="2"/>
        <v>83.259319974919521</v>
      </c>
      <c r="H20">
        <f t="shared" si="3"/>
        <v>106.80723063680222</v>
      </c>
    </row>
    <row r="21" spans="1:8" x14ac:dyDescent="0.3">
      <c r="A21">
        <v>21</v>
      </c>
      <c r="C21">
        <f t="shared" si="0"/>
        <v>91.7556580629427</v>
      </c>
      <c r="D21">
        <f t="shared" si="1"/>
        <v>68.256406136862182</v>
      </c>
      <c r="E21">
        <v>21</v>
      </c>
      <c r="G21">
        <f t="shared" si="2"/>
        <v>84.977579318219</v>
      </c>
      <c r="H21">
        <f t="shared" si="3"/>
        <v>108.51324237960105</v>
      </c>
    </row>
    <row r="22" spans="1:8" x14ac:dyDescent="0.3">
      <c r="A22">
        <v>22</v>
      </c>
      <c r="C22">
        <f t="shared" si="0"/>
        <v>93.335589268594759</v>
      </c>
      <c r="D22">
        <f t="shared" si="1"/>
        <v>69.842089050235472</v>
      </c>
      <c r="E22">
        <v>22</v>
      </c>
      <c r="G22">
        <f t="shared" si="2"/>
        <v>86.695838661518479</v>
      </c>
      <c r="H22">
        <f t="shared" si="3"/>
        <v>110.22047293333686</v>
      </c>
    </row>
    <row r="23" spans="1:8" x14ac:dyDescent="0.3">
      <c r="A23">
        <v>23</v>
      </c>
      <c r="C23">
        <f t="shared" si="0"/>
        <v>94.915520474246804</v>
      </c>
      <c r="D23">
        <f t="shared" si="1"/>
        <v>71.426735934028102</v>
      </c>
      <c r="E23">
        <v>23</v>
      </c>
      <c r="G23">
        <f t="shared" si="2"/>
        <v>88.414098004817959</v>
      </c>
      <c r="H23">
        <f t="shared" si="3"/>
        <v>111.92892401292897</v>
      </c>
    </row>
    <row r="24" spans="1:8" x14ac:dyDescent="0.3">
      <c r="A24">
        <v>24</v>
      </c>
      <c r="C24">
        <f t="shared" si="0"/>
        <v>96.495451679898849</v>
      </c>
      <c r="D24">
        <f t="shared" si="1"/>
        <v>73.010346164153219</v>
      </c>
      <c r="E24">
        <v>24</v>
      </c>
      <c r="G24">
        <f t="shared" si="2"/>
        <v>90.132357348117438</v>
      </c>
      <c r="H24">
        <f t="shared" si="3"/>
        <v>113.63859714621506</v>
      </c>
    </row>
    <row r="25" spans="1:8" x14ac:dyDescent="0.3">
      <c r="A25">
        <v>25</v>
      </c>
      <c r="C25">
        <f t="shared" si="0"/>
        <v>98.075382885550908</v>
      </c>
      <c r="D25">
        <f t="shared" si="1"/>
        <v>74.592919253369686</v>
      </c>
      <c r="E25">
        <v>25</v>
      </c>
      <c r="G25">
        <f t="shared" si="2"/>
        <v>91.850616691416917</v>
      </c>
      <c r="H25">
        <f t="shared" si="3"/>
        <v>115.34949367276681</v>
      </c>
    </row>
    <row r="26" spans="1:8" x14ac:dyDescent="0.3">
      <c r="A26">
        <v>26</v>
      </c>
      <c r="C26">
        <f t="shared" si="0"/>
        <v>99.655314091202953</v>
      </c>
      <c r="D26">
        <f t="shared" si="1"/>
        <v>76.174454851604381</v>
      </c>
      <c r="E26">
        <v>26</v>
      </c>
      <c r="G26">
        <f t="shared" si="2"/>
        <v>93.568876034716396</v>
      </c>
      <c r="H26">
        <f t="shared" si="3"/>
        <v>117.06161474284869</v>
      </c>
    </row>
    <row r="27" spans="1:8" x14ac:dyDescent="0.3">
      <c r="A27">
        <v>27</v>
      </c>
      <c r="C27">
        <f t="shared" si="0"/>
        <v>101.235245296855</v>
      </c>
      <c r="D27">
        <f t="shared" si="1"/>
        <v>77.754952746184145</v>
      </c>
      <c r="E27">
        <v>27</v>
      </c>
      <c r="G27">
        <f t="shared" si="2"/>
        <v>95.287135378015876</v>
      </c>
      <c r="H27">
        <f t="shared" si="3"/>
        <v>118.7749613165218</v>
      </c>
    </row>
    <row r="28" spans="1:8" x14ac:dyDescent="0.3">
      <c r="A28">
        <v>28</v>
      </c>
      <c r="C28">
        <f t="shared" si="0"/>
        <v>102.81517650250706</v>
      </c>
      <c r="D28">
        <f t="shared" si="1"/>
        <v>79.334412861976631</v>
      </c>
      <c r="E28">
        <v>28</v>
      </c>
      <c r="G28">
        <f t="shared" si="2"/>
        <v>97.005394721315355</v>
      </c>
      <c r="H28">
        <f t="shared" si="3"/>
        <v>120.48953416289461</v>
      </c>
    </row>
    <row r="29" spans="1:8" x14ac:dyDescent="0.3">
      <c r="A29">
        <v>29</v>
      </c>
      <c r="C29">
        <f t="shared" si="0"/>
        <v>104.3951077081591</v>
      </c>
      <c r="D29">
        <f t="shared" si="1"/>
        <v>80.912835261440009</v>
      </c>
      <c r="E29">
        <v>29</v>
      </c>
      <c r="G29">
        <f t="shared" si="2"/>
        <v>98.723654064614834</v>
      </c>
      <c r="H29">
        <f t="shared" si="3"/>
        <v>122.20533385952173</v>
      </c>
    </row>
    <row r="30" spans="1:8" x14ac:dyDescent="0.3">
      <c r="A30">
        <v>30</v>
      </c>
      <c r="C30">
        <f t="shared" si="0"/>
        <v>105.97503891381115</v>
      </c>
      <c r="D30">
        <f t="shared" si="1"/>
        <v>82.490220144581755</v>
      </c>
      <c r="E30">
        <v>30</v>
      </c>
      <c r="G30">
        <f t="shared" si="2"/>
        <v>100.44191340791431</v>
      </c>
      <c r="H30">
        <f t="shared" si="3"/>
        <v>123.92236079195179</v>
      </c>
    </row>
    <row r="31" spans="1:8" x14ac:dyDescent="0.3">
      <c r="A31">
        <v>31</v>
      </c>
      <c r="C31">
        <f t="shared" si="0"/>
        <v>107.55497011946321</v>
      </c>
      <c r="D31">
        <f t="shared" si="1"/>
        <v>84.066567848825997</v>
      </c>
      <c r="E31">
        <v>31</v>
      </c>
      <c r="G31">
        <f t="shared" si="2"/>
        <v>102.16017275121379</v>
      </c>
      <c r="H31">
        <f t="shared" si="3"/>
        <v>125.64061515342546</v>
      </c>
    </row>
    <row r="32" spans="1:8" x14ac:dyDescent="0.3">
      <c r="A32">
        <v>32</v>
      </c>
      <c r="C32">
        <f t="shared" si="0"/>
        <v>109.13490132511525</v>
      </c>
      <c r="D32">
        <f t="shared" si="1"/>
        <v>85.641878848790071</v>
      </c>
      <c r="E32">
        <v>32</v>
      </c>
      <c r="G32">
        <f t="shared" si="2"/>
        <v>103.87843209451327</v>
      </c>
      <c r="H32">
        <f t="shared" si="3"/>
        <v>127.36009694472395</v>
      </c>
    </row>
    <row r="33" spans="1:8" x14ac:dyDescent="0.3">
      <c r="A33">
        <v>33</v>
      </c>
      <c r="C33">
        <f t="shared" ref="C33:C64" si="4">60.1570339499017+(A33-1)*1.57993120565205</f>
        <v>110.7148325307673</v>
      </c>
      <c r="D33">
        <f t="shared" ref="D33:D64" si="5">0+1*C33-23.4309111818125*(1.0042194092827+(C33-101.308016877637)^2/56239.5163674555)^0.5</f>
        <v>87.216153755970495</v>
      </c>
      <c r="E33">
        <v>33</v>
      </c>
      <c r="G33">
        <f t="shared" ref="G33:G64" si="6">50.6123924522294+(E33-1)*1.71825934329948</f>
        <v>105.59669143781275</v>
      </c>
      <c r="H33">
        <f t="shared" ref="H33:H64" si="7">0+1*G33+23.4309111818125*(1.0042194092827+(G33-101.308016877637)^2/56239.5163674555)^0.5</f>
        <v>129.08080597416844</v>
      </c>
    </row>
    <row r="34" spans="1:8" x14ac:dyDescent="0.3">
      <c r="A34">
        <v>34</v>
      </c>
      <c r="C34">
        <f t="shared" si="4"/>
        <v>112.29476373641936</v>
      </c>
      <c r="D34">
        <f t="shared" si="5"/>
        <v>88.789393318338924</v>
      </c>
      <c r="E34">
        <v>34</v>
      </c>
      <c r="G34">
        <f t="shared" si="6"/>
        <v>107.31495078111223</v>
      </c>
      <c r="H34">
        <f t="shared" si="7"/>
        <v>130.80274185777031</v>
      </c>
    </row>
    <row r="35" spans="1:8" x14ac:dyDescent="0.3">
      <c r="A35">
        <v>35</v>
      </c>
      <c r="C35">
        <f t="shared" si="4"/>
        <v>113.8746949420714</v>
      </c>
      <c r="D35">
        <f t="shared" si="5"/>
        <v>90.361598419848406</v>
      </c>
      <c r="E35">
        <v>35</v>
      </c>
      <c r="G35">
        <f t="shared" si="6"/>
        <v>109.03321012441171</v>
      </c>
      <c r="H35">
        <f t="shared" si="7"/>
        <v>132.52590401953191</v>
      </c>
    </row>
    <row r="36" spans="1:8" x14ac:dyDescent="0.3">
      <c r="A36">
        <v>36</v>
      </c>
      <c r="C36">
        <f t="shared" si="4"/>
        <v>115.45462614772345</v>
      </c>
      <c r="D36">
        <f t="shared" si="5"/>
        <v>91.932770079851196</v>
      </c>
      <c r="E36">
        <v>36</v>
      </c>
      <c r="G36">
        <f t="shared" si="6"/>
        <v>110.75146946771119</v>
      </c>
      <c r="H36">
        <f t="shared" si="7"/>
        <v>134.25029169189744</v>
      </c>
    </row>
    <row r="37" spans="1:8" x14ac:dyDescent="0.3">
      <c r="A37">
        <v>37</v>
      </c>
      <c r="C37">
        <f t="shared" si="4"/>
        <v>117.0345573533755</v>
      </c>
      <c r="D37">
        <f t="shared" si="5"/>
        <v>93.502909452428526</v>
      </c>
      <c r="E37">
        <v>37</v>
      </c>
      <c r="G37">
        <f t="shared" si="6"/>
        <v>112.46972881101067</v>
      </c>
      <c r="H37">
        <f t="shared" si="7"/>
        <v>135.97590391635302</v>
      </c>
    </row>
    <row r="38" spans="1:8" x14ac:dyDescent="0.3">
      <c r="A38">
        <v>38</v>
      </c>
      <c r="C38">
        <f t="shared" si="4"/>
        <v>118.61448855902756</v>
      </c>
      <c r="D38">
        <f t="shared" si="5"/>
        <v>95.072017825633722</v>
      </c>
      <c r="E38">
        <v>38</v>
      </c>
      <c r="G38">
        <f t="shared" si="6"/>
        <v>114.18798815431015</v>
      </c>
      <c r="H38">
        <f t="shared" si="7"/>
        <v>137.70273954417468</v>
      </c>
    </row>
    <row r="39" spans="1:8" x14ac:dyDescent="0.3">
      <c r="A39">
        <v>39</v>
      </c>
      <c r="C39">
        <f t="shared" si="4"/>
        <v>120.19441976467959</v>
      </c>
      <c r="D39">
        <f t="shared" si="5"/>
        <v>96.640096620649558</v>
      </c>
      <c r="E39">
        <v>39</v>
      </c>
      <c r="G39">
        <f t="shared" si="6"/>
        <v>115.90624749760964</v>
      </c>
      <c r="H39">
        <f t="shared" si="7"/>
        <v>139.43079723732342</v>
      </c>
    </row>
    <row r="40" spans="1:8" x14ac:dyDescent="0.3">
      <c r="A40">
        <v>40</v>
      </c>
      <c r="C40">
        <f t="shared" si="4"/>
        <v>121.77435097033165</v>
      </c>
      <c r="D40">
        <f t="shared" si="5"/>
        <v>98.207147390861493</v>
      </c>
      <c r="E40">
        <v>40</v>
      </c>
      <c r="G40">
        <f t="shared" si="6"/>
        <v>117.62450684090912</v>
      </c>
      <c r="H40">
        <f t="shared" si="7"/>
        <v>141.16007546948515</v>
      </c>
    </row>
    <row r="41" spans="1:8" x14ac:dyDescent="0.3">
      <c r="A41">
        <v>41</v>
      </c>
      <c r="C41">
        <f t="shared" si="4"/>
        <v>123.35428217598371</v>
      </c>
      <c r="D41">
        <f t="shared" si="5"/>
        <v>99.77317182084748</v>
      </c>
      <c r="E41">
        <v>41</v>
      </c>
      <c r="G41">
        <f t="shared" si="6"/>
        <v>119.3427661842086</v>
      </c>
      <c r="H41">
        <f t="shared" si="7"/>
        <v>142.89057252725402</v>
      </c>
    </row>
    <row r="42" spans="1:8" x14ac:dyDescent="0.3">
      <c r="A42">
        <v>42</v>
      </c>
      <c r="C42">
        <f t="shared" si="4"/>
        <v>124.93421338163576</v>
      </c>
      <c r="D42">
        <f t="shared" si="5"/>
        <v>101.33817172528681</v>
      </c>
      <c r="E42">
        <v>42</v>
      </c>
      <c r="G42">
        <f t="shared" si="6"/>
        <v>121.06102552750808</v>
      </c>
      <c r="H42">
        <f t="shared" si="7"/>
        <v>144.62228651145676</v>
      </c>
    </row>
    <row r="43" spans="1:8" x14ac:dyDescent="0.3">
      <c r="A43">
        <v>43</v>
      </c>
      <c r="C43">
        <f t="shared" si="4"/>
        <v>126.5141445872878</v>
      </c>
      <c r="D43">
        <f t="shared" si="5"/>
        <v>102.9021490477889</v>
      </c>
      <c r="E43">
        <v>43</v>
      </c>
      <c r="G43">
        <f t="shared" si="6"/>
        <v>122.77928487080756</v>
      </c>
      <c r="H43">
        <f t="shared" si="7"/>
        <v>146.35521533861575</v>
      </c>
    </row>
    <row r="44" spans="1:8" x14ac:dyDescent="0.3">
      <c r="A44">
        <v>44</v>
      </c>
      <c r="C44">
        <f t="shared" si="4"/>
        <v>128.09407579293986</v>
      </c>
      <c r="D44">
        <f t="shared" si="5"/>
        <v>104.46510585964405</v>
      </c>
      <c r="E44">
        <v>44</v>
      </c>
      <c r="G44">
        <f t="shared" si="6"/>
        <v>124.49754421410704</v>
      </c>
      <c r="H44">
        <f t="shared" si="7"/>
        <v>148.08935674254843</v>
      </c>
    </row>
    <row r="45" spans="1:8" x14ac:dyDescent="0.3">
      <c r="A45">
        <v>45</v>
      </c>
      <c r="C45">
        <f t="shared" si="4"/>
        <v>129.67400699859189</v>
      </c>
      <c r="D45">
        <f t="shared" si="5"/>
        <v>106.02704435849797</v>
      </c>
      <c r="E45">
        <v>45</v>
      </c>
      <c r="G45">
        <f t="shared" si="6"/>
        <v>126.21580355740652</v>
      </c>
      <c r="H45">
        <f t="shared" si="7"/>
        <v>149.82470827609976</v>
      </c>
    </row>
    <row r="46" spans="1:8" x14ac:dyDescent="0.3">
      <c r="A46">
        <v>46</v>
      </c>
      <c r="C46">
        <f t="shared" si="4"/>
        <v>131.25393820424395</v>
      </c>
      <c r="D46">
        <f t="shared" si="5"/>
        <v>107.58796686695213</v>
      </c>
      <c r="E46">
        <v>46</v>
      </c>
      <c r="G46">
        <f t="shared" si="6"/>
        <v>127.934062900706</v>
      </c>
      <c r="H46">
        <f t="shared" si="7"/>
        <v>151.56126731300495</v>
      </c>
    </row>
    <row r="47" spans="1:8" x14ac:dyDescent="0.3">
      <c r="A47">
        <v>47</v>
      </c>
      <c r="C47">
        <f t="shared" si="4"/>
        <v>132.83386940989601</v>
      </c>
      <c r="D47">
        <f t="shared" si="5"/>
        <v>109.14787583109174</v>
      </c>
      <c r="E47">
        <v>47</v>
      </c>
      <c r="G47">
        <f t="shared" si="6"/>
        <v>129.65232224400546</v>
      </c>
      <c r="H47">
        <f t="shared" si="7"/>
        <v>153.29903104987943</v>
      </c>
    </row>
    <row r="48" spans="1:8" x14ac:dyDescent="0.3">
      <c r="A48">
        <v>48</v>
      </c>
      <c r="C48">
        <f t="shared" si="4"/>
        <v>134.41380061554804</v>
      </c>
      <c r="D48">
        <f t="shared" si="5"/>
        <v>110.70677381894369</v>
      </c>
      <c r="E48">
        <v>48</v>
      </c>
      <c r="G48">
        <f t="shared" si="6"/>
        <v>131.37058158730497</v>
      </c>
      <c r="H48">
        <f t="shared" si="7"/>
        <v>155.03799650833187</v>
      </c>
    </row>
    <row r="49" spans="1:8" x14ac:dyDescent="0.3">
      <c r="A49">
        <v>49</v>
      </c>
      <c r="C49">
        <f t="shared" si="4"/>
        <v>135.9937318212001</v>
      </c>
      <c r="D49">
        <f t="shared" si="5"/>
        <v>112.26466351886687</v>
      </c>
      <c r="E49">
        <v>49</v>
      </c>
      <c r="G49">
        <f t="shared" si="6"/>
        <v>133.08884093060442</v>
      </c>
      <c r="H49">
        <f t="shared" si="7"/>
        <v>156.77816053719741</v>
      </c>
    </row>
    <row r="50" spans="1:8" x14ac:dyDescent="0.3">
      <c r="A50">
        <v>50</v>
      </c>
      <c r="C50">
        <f t="shared" si="4"/>
        <v>137.57366302685216</v>
      </c>
      <c r="D50">
        <f t="shared" si="5"/>
        <v>113.82154773787643</v>
      </c>
      <c r="E50">
        <v>50</v>
      </c>
      <c r="G50">
        <f t="shared" si="6"/>
        <v>134.80710027390393</v>
      </c>
      <c r="H50">
        <f t="shared" si="7"/>
        <v>158.51951981488682</v>
      </c>
    </row>
    <row r="51" spans="1:8" x14ac:dyDescent="0.3">
      <c r="A51">
        <v>51</v>
      </c>
      <c r="C51">
        <f t="shared" si="4"/>
        <v>139.15359423250419</v>
      </c>
      <c r="D51">
        <f t="shared" si="5"/>
        <v>115.37742939990528</v>
      </c>
      <c r="E51">
        <v>51</v>
      </c>
      <c r="G51">
        <f t="shared" si="6"/>
        <v>136.52535961720338</v>
      </c>
      <c r="H51">
        <f t="shared" si="7"/>
        <v>160.26207085184745</v>
      </c>
    </row>
    <row r="52" spans="1:8" x14ac:dyDescent="0.3">
      <c r="A52">
        <v>52</v>
      </c>
      <c r="C52">
        <f t="shared" si="4"/>
        <v>140.73352543815625</v>
      </c>
      <c r="D52">
        <f t="shared" si="5"/>
        <v>116.93231154400475</v>
      </c>
      <c r="E52">
        <v>52</v>
      </c>
      <c r="G52">
        <f t="shared" si="6"/>
        <v>138.24361896050289</v>
      </c>
      <c r="H52">
        <f t="shared" si="7"/>
        <v>162.00580999313246</v>
      </c>
    </row>
    <row r="53" spans="1:8" x14ac:dyDescent="0.3">
      <c r="A53">
        <v>53</v>
      </c>
      <c r="C53">
        <f t="shared" si="4"/>
        <v>142.31345664380831</v>
      </c>
      <c r="D53">
        <f t="shared" si="5"/>
        <v>118.48619732248669</v>
      </c>
      <c r="E53">
        <v>53</v>
      </c>
      <c r="G53">
        <f t="shared" si="6"/>
        <v>139.96187830380234</v>
      </c>
      <c r="H53">
        <f t="shared" si="7"/>
        <v>163.75073342107305</v>
      </c>
    </row>
    <row r="54" spans="1:8" x14ac:dyDescent="0.3">
      <c r="A54">
        <v>54</v>
      </c>
      <c r="C54">
        <f t="shared" si="4"/>
        <v>143.89338784946034</v>
      </c>
      <c r="D54">
        <f t="shared" si="5"/>
        <v>120.0390899990103</v>
      </c>
      <c r="E54">
        <v>54</v>
      </c>
      <c r="G54">
        <f t="shared" si="6"/>
        <v>141.68013764710184</v>
      </c>
      <c r="H54">
        <f t="shared" si="7"/>
        <v>165.4968371580506</v>
      </c>
    </row>
    <row r="55" spans="1:8" x14ac:dyDescent="0.3">
      <c r="A55">
        <v>55</v>
      </c>
      <c r="C55">
        <f t="shared" si="4"/>
        <v>145.4733190551124</v>
      </c>
      <c r="D55">
        <f t="shared" si="5"/>
        <v>121.59099294661573</v>
      </c>
      <c r="E55">
        <v>55</v>
      </c>
      <c r="G55">
        <f t="shared" si="6"/>
        <v>143.39839699040132</v>
      </c>
      <c r="H55">
        <f t="shared" si="7"/>
        <v>167.24411706936243</v>
      </c>
    </row>
    <row r="56" spans="1:8" x14ac:dyDescent="0.3">
      <c r="A56">
        <v>56</v>
      </c>
      <c r="C56">
        <f t="shared" si="4"/>
        <v>147.05325026076446</v>
      </c>
      <c r="D56">
        <f t="shared" si="5"/>
        <v>123.14190964570696</v>
      </c>
      <c r="E56">
        <v>56</v>
      </c>
      <c r="G56">
        <f t="shared" si="6"/>
        <v>145.1166563337008</v>
      </c>
      <c r="H56">
        <f t="shared" si="7"/>
        <v>168.99256886617849</v>
      </c>
    </row>
    <row r="57" spans="1:8" x14ac:dyDescent="0.3">
      <c r="A57">
        <v>57</v>
      </c>
      <c r="C57">
        <f t="shared" si="4"/>
        <v>148.63318146641649</v>
      </c>
      <c r="D57">
        <f t="shared" si="5"/>
        <v>124.69184368198735</v>
      </c>
      <c r="E57">
        <v>57</v>
      </c>
      <c r="G57">
        <f t="shared" si="6"/>
        <v>146.83491567700028</v>
      </c>
      <c r="H57">
        <f t="shared" si="7"/>
        <v>170.74218810858255</v>
      </c>
    </row>
    <row r="58" spans="1:8" x14ac:dyDescent="0.3">
      <c r="A58">
        <v>58</v>
      </c>
      <c r="C58">
        <f t="shared" si="4"/>
        <v>150.21311267206855</v>
      </c>
      <c r="D58">
        <f t="shared" si="5"/>
        <v>126.24079874434997</v>
      </c>
      <c r="E58">
        <v>58</v>
      </c>
      <c r="G58">
        <f t="shared" si="6"/>
        <v>148.55317502029976</v>
      </c>
      <c r="H58">
        <f t="shared" si="7"/>
        <v>172.49297020869426</v>
      </c>
    </row>
    <row r="59" spans="1:8" x14ac:dyDescent="0.3">
      <c r="A59">
        <v>59</v>
      </c>
      <c r="C59">
        <f t="shared" si="4"/>
        <v>151.79304387772061</v>
      </c>
      <c r="D59">
        <f t="shared" si="5"/>
        <v>127.7887786227255</v>
      </c>
      <c r="E59">
        <v>59</v>
      </c>
      <c r="G59">
        <f t="shared" si="6"/>
        <v>150.27143436359924</v>
      </c>
      <c r="H59">
        <f t="shared" si="7"/>
        <v>174.24491043386638</v>
      </c>
    </row>
    <row r="60" spans="1:8" x14ac:dyDescent="0.3">
      <c r="A60">
        <v>60</v>
      </c>
      <c r="C60">
        <f t="shared" si="4"/>
        <v>153.37297508337264</v>
      </c>
      <c r="D60">
        <f t="shared" si="5"/>
        <v>129.3357872058908</v>
      </c>
      <c r="E60">
        <v>60</v>
      </c>
      <c r="G60">
        <f t="shared" si="6"/>
        <v>151.98969370689872</v>
      </c>
      <c r="H60">
        <f t="shared" si="7"/>
        <v>175.99800390995298</v>
      </c>
    </row>
    <row r="61" spans="1:8" x14ac:dyDescent="0.3">
      <c r="A61">
        <v>61</v>
      </c>
      <c r="C61">
        <f t="shared" si="4"/>
        <v>154.95290628902472</v>
      </c>
      <c r="D61">
        <f t="shared" si="5"/>
        <v>130.88182847924077</v>
      </c>
      <c r="E61">
        <v>61</v>
      </c>
      <c r="G61">
        <f t="shared" si="6"/>
        <v>153.7079530501982</v>
      </c>
      <c r="H61">
        <f t="shared" si="7"/>
        <v>177.752245624643</v>
      </c>
    </row>
    <row r="62" spans="1:8" x14ac:dyDescent="0.3">
      <c r="A62">
        <v>62</v>
      </c>
      <c r="C62">
        <f t="shared" si="4"/>
        <v>156.53283749467676</v>
      </c>
      <c r="D62">
        <f t="shared" si="5"/>
        <v>132.42690652252577</v>
      </c>
      <c r="E62">
        <v>62</v>
      </c>
      <c r="G62">
        <f t="shared" si="6"/>
        <v>155.42621239349768</v>
      </c>
      <c r="H62">
        <f t="shared" si="7"/>
        <v>179.50763043085453</v>
      </c>
    </row>
    <row r="63" spans="1:8" x14ac:dyDescent="0.3">
      <c r="A63">
        <v>63</v>
      </c>
      <c r="C63">
        <f t="shared" si="4"/>
        <v>158.11276870032879</v>
      </c>
      <c r="D63">
        <f t="shared" si="5"/>
        <v>133.97102550755869</v>
      </c>
      <c r="E63">
        <v>63</v>
      </c>
      <c r="G63">
        <f t="shared" si="6"/>
        <v>157.14447173679716</v>
      </c>
      <c r="H63">
        <f t="shared" si="7"/>
        <v>181.26415305018486</v>
      </c>
    </row>
    <row r="64" spans="1:8" x14ac:dyDescent="0.3">
      <c r="A64">
        <v>64</v>
      </c>
      <c r="C64">
        <f t="shared" si="4"/>
        <v>159.69269990598087</v>
      </c>
      <c r="D64">
        <f t="shared" si="5"/>
        <v>135.51418969589275</v>
      </c>
      <c r="E64">
        <v>64</v>
      </c>
      <c r="G64">
        <f t="shared" si="6"/>
        <v>158.86273108009664</v>
      </c>
      <c r="H64">
        <f t="shared" si="7"/>
        <v>183.02180807641096</v>
      </c>
    </row>
    <row r="65" spans="1:8" x14ac:dyDescent="0.3">
      <c r="A65">
        <v>65</v>
      </c>
      <c r="C65">
        <f t="shared" ref="C65:C70" si="8">60.1570339499017+(A65-1)*1.57993120565205</f>
        <v>161.2726311116329</v>
      </c>
      <c r="D65">
        <f t="shared" ref="D65:D70" si="9">0+1*C65-23.4309111818125*(1.0042194092827+(C65-101.308016877637)^2/56239.5163674555)^0.5</f>
        <v>137.05640343647408</v>
      </c>
      <c r="E65">
        <v>65</v>
      </c>
      <c r="G65">
        <f t="shared" ref="G65:G70" si="10">50.6123924522294+(E65-1)*1.71825934329948</f>
        <v>160.58099042339612</v>
      </c>
      <c r="H65">
        <f t="shared" ref="H65:H70" si="11">0+1*G65+23.4309111818125*(1.0042194092827+(G65-101.308016877637)^2/56239.5163674555)^0.5</f>
        <v>184.78058997903585</v>
      </c>
    </row>
    <row r="66" spans="1:8" x14ac:dyDescent="0.3">
      <c r="A66">
        <v>66</v>
      </c>
      <c r="C66">
        <f t="shared" si="8"/>
        <v>162.85256231728494</v>
      </c>
      <c r="D66">
        <f t="shared" si="9"/>
        <v>138.59767116327149</v>
      </c>
      <c r="E66">
        <v>66</v>
      </c>
      <c r="G66">
        <f t="shared" si="10"/>
        <v>162.2992497666956</v>
      </c>
      <c r="H66">
        <f t="shared" si="11"/>
        <v>186.54049310687529</v>
      </c>
    </row>
    <row r="67" spans="1:8" x14ac:dyDescent="0.3">
      <c r="A67">
        <v>67</v>
      </c>
      <c r="C67">
        <f t="shared" si="8"/>
        <v>164.43249352293702</v>
      </c>
      <c r="D67">
        <f t="shared" si="9"/>
        <v>140.13799739288584</v>
      </c>
      <c r="E67">
        <v>67</v>
      </c>
      <c r="G67">
        <f t="shared" si="10"/>
        <v>164.01750910999507</v>
      </c>
      <c r="H67">
        <f t="shared" si="11"/>
        <v>188.30151169168053</v>
      </c>
    </row>
    <row r="68" spans="1:8" x14ac:dyDescent="0.3">
      <c r="A68">
        <v>68</v>
      </c>
      <c r="C68">
        <f t="shared" si="8"/>
        <v>166.01242472858905</v>
      </c>
      <c r="D68">
        <f t="shared" si="9"/>
        <v>141.67738672214196</v>
      </c>
      <c r="E68">
        <v>68</v>
      </c>
      <c r="G68">
        <f t="shared" si="10"/>
        <v>165.73576845329455</v>
      </c>
      <c r="H68">
        <f t="shared" si="11"/>
        <v>190.06363985179181</v>
      </c>
    </row>
    <row r="69" spans="1:8" x14ac:dyDescent="0.3">
      <c r="A69">
        <v>69</v>
      </c>
      <c r="C69">
        <f t="shared" si="8"/>
        <v>167.59235593424108</v>
      </c>
      <c r="D69">
        <f t="shared" si="9"/>
        <v>143.21584382566624</v>
      </c>
      <c r="E69">
        <v>69</v>
      </c>
      <c r="G69">
        <f t="shared" si="10"/>
        <v>167.45402779659403</v>
      </c>
      <c r="H69">
        <f t="shared" si="11"/>
        <v>191.82687159581752</v>
      </c>
    </row>
    <row r="70" spans="1:8" x14ac:dyDescent="0.3">
      <c r="A70">
        <v>70</v>
      </c>
      <c r="C70">
        <f t="shared" si="8"/>
        <v>169.17228713989317</v>
      </c>
      <c r="D70">
        <f t="shared" si="9"/>
        <v>144.75337345345156</v>
      </c>
      <c r="E70">
        <v>70</v>
      </c>
      <c r="G70">
        <f t="shared" si="10"/>
        <v>169.17228713989351</v>
      </c>
      <c r="H70">
        <f t="shared" si="11"/>
        <v>193.59120082633515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DAFCD-398D-47DF-A4A4-8C4CFEF8AD45}">
  <sheetPr codeName="XLSTAT_20211005_171239_1_HID"/>
  <dimension ref="A1:H70"/>
  <sheetViews>
    <sheetView workbookViewId="0"/>
  </sheetViews>
  <sheetFormatPr baseColWidth="10" defaultColWidth="8.88671875" defaultRowHeight="14.4" x14ac:dyDescent="0.3"/>
  <sheetData>
    <row r="1" spans="1:8" x14ac:dyDescent="0.3">
      <c r="A1">
        <v>1</v>
      </c>
      <c r="C1">
        <f t="shared" ref="C1:C32" si="0">60.1570339499017+(A1-1)*1.57993120565205</f>
        <v>60.157033949901702</v>
      </c>
      <c r="D1">
        <f t="shared" ref="D1:D32" si="1">0+1*C1-23.4309111818125*(1.0042194092827+(C1-101.308016877637)^2/56239.5163674555)^0.5</f>
        <v>36.327325318919023</v>
      </c>
      <c r="E1">
        <v>1</v>
      </c>
      <c r="G1">
        <f t="shared" ref="G1:G32" si="2">50.6123924522294+(E1-1)*1.71825934329948</f>
        <v>50.6123924522294</v>
      </c>
      <c r="H1">
        <f t="shared" ref="H1:H32" si="3">0+1*G1+23.4309111818125*(1.0042194092827+(G1-101.308016877637)^2/56239.5163674555)^0.5</f>
        <v>74.620990118763387</v>
      </c>
    </row>
    <row r="2" spans="1:8" x14ac:dyDescent="0.3">
      <c r="A2">
        <v>2</v>
      </c>
      <c r="C2">
        <f t="shared" si="0"/>
        <v>61.736965155553754</v>
      </c>
      <c r="D2">
        <f t="shared" si="1"/>
        <v>37.933393574385789</v>
      </c>
      <c r="E2">
        <v>2</v>
      </c>
      <c r="G2">
        <f t="shared" si="2"/>
        <v>52.33065179552888</v>
      </c>
      <c r="H2">
        <f t="shared" si="3"/>
        <v>76.304405988336185</v>
      </c>
    </row>
    <row r="3" spans="1:8" x14ac:dyDescent="0.3">
      <c r="A3">
        <v>3</v>
      </c>
      <c r="C3">
        <f t="shared" si="0"/>
        <v>63.316896361205799</v>
      </c>
      <c r="D3">
        <f t="shared" si="1"/>
        <v>39.538465760256457</v>
      </c>
      <c r="E3">
        <v>3</v>
      </c>
      <c r="G3">
        <f t="shared" si="2"/>
        <v>54.048911138828359</v>
      </c>
      <c r="H3">
        <f t="shared" si="3"/>
        <v>77.988975068688802</v>
      </c>
    </row>
    <row r="4" spans="1:8" x14ac:dyDescent="0.3">
      <c r="A4">
        <v>4</v>
      </c>
      <c r="C4">
        <f t="shared" si="0"/>
        <v>64.896827566857851</v>
      </c>
      <c r="D4">
        <f t="shared" si="1"/>
        <v>41.142538713880995</v>
      </c>
      <c r="E4">
        <v>4</v>
      </c>
      <c r="G4">
        <f t="shared" si="2"/>
        <v>55.767170482127838</v>
      </c>
      <c r="H4">
        <f t="shared" si="3"/>
        <v>79.674702235102174</v>
      </c>
    </row>
    <row r="5" spans="1:8" x14ac:dyDescent="0.3">
      <c r="A5">
        <v>5</v>
      </c>
      <c r="C5">
        <f t="shared" si="0"/>
        <v>66.476758772509896</v>
      </c>
      <c r="D5">
        <f t="shared" si="1"/>
        <v>42.745609385696028</v>
      </c>
      <c r="E5">
        <v>5</v>
      </c>
      <c r="G5">
        <f t="shared" si="2"/>
        <v>57.485429825427317</v>
      </c>
      <c r="H5">
        <f t="shared" si="3"/>
        <v>81.361592221385351</v>
      </c>
    </row>
    <row r="6" spans="1:8" x14ac:dyDescent="0.3">
      <c r="A6">
        <v>6</v>
      </c>
      <c r="C6">
        <f t="shared" si="0"/>
        <v>68.056689978161955</v>
      </c>
      <c r="D6">
        <f t="shared" si="1"/>
        <v>44.347674841087795</v>
      </c>
      <c r="E6">
        <v>6</v>
      </c>
      <c r="G6">
        <f t="shared" si="2"/>
        <v>59.203689168726797</v>
      </c>
      <c r="H6">
        <f t="shared" si="3"/>
        <v>83.049649616606814</v>
      </c>
    </row>
    <row r="7" spans="1:8" x14ac:dyDescent="0.3">
      <c r="A7">
        <v>7</v>
      </c>
      <c r="C7">
        <f t="shared" si="0"/>
        <v>69.636621183814</v>
      </c>
      <c r="D7">
        <f t="shared" si="1"/>
        <v>45.94873226219697</v>
      </c>
      <c r="E7">
        <v>7</v>
      </c>
      <c r="G7">
        <f t="shared" si="2"/>
        <v>60.921948512026276</v>
      </c>
      <c r="H7">
        <f t="shared" si="3"/>
        <v>84.738878861896495</v>
      </c>
    </row>
    <row r="8" spans="1:8" x14ac:dyDescent="0.3">
      <c r="A8">
        <v>8</v>
      </c>
      <c r="C8">
        <f t="shared" si="0"/>
        <v>71.216552389466045</v>
      </c>
      <c r="D8">
        <f t="shared" si="1"/>
        <v>47.548778949663102</v>
      </c>
      <c r="E8">
        <v>8</v>
      </c>
      <c r="G8">
        <f t="shared" si="2"/>
        <v>62.640207855325762</v>
      </c>
      <c r="H8">
        <f t="shared" si="3"/>
        <v>86.429284247323267</v>
      </c>
    </row>
    <row r="9" spans="1:8" x14ac:dyDescent="0.3">
      <c r="A9">
        <v>9</v>
      </c>
      <c r="C9">
        <f t="shared" si="0"/>
        <v>72.796483595118104</v>
      </c>
      <c r="D9">
        <f t="shared" si="1"/>
        <v>49.147812324305953</v>
      </c>
      <c r="E9">
        <v>9</v>
      </c>
      <c r="G9">
        <f t="shared" si="2"/>
        <v>64.358467198625235</v>
      </c>
      <c r="H9">
        <f t="shared" si="3"/>
        <v>88.120869908852796</v>
      </c>
    </row>
    <row r="10" spans="1:8" x14ac:dyDescent="0.3">
      <c r="A10">
        <v>10</v>
      </c>
      <c r="C10">
        <f t="shared" si="0"/>
        <v>74.376414800770149</v>
      </c>
      <c r="D10">
        <f t="shared" si="1"/>
        <v>50.745829928741486</v>
      </c>
      <c r="E10">
        <v>10</v>
      </c>
      <c r="G10">
        <f t="shared" si="2"/>
        <v>66.076726541924714</v>
      </c>
      <c r="H10">
        <f t="shared" si="3"/>
        <v>89.813639825390638</v>
      </c>
    </row>
    <row r="11" spans="1:8" x14ac:dyDescent="0.3">
      <c r="A11">
        <v>11</v>
      </c>
      <c r="C11">
        <f t="shared" si="0"/>
        <v>75.956346006422208</v>
      </c>
      <c r="D11">
        <f t="shared" si="1"/>
        <v>52.34282942893033</v>
      </c>
      <c r="E11">
        <v>11</v>
      </c>
      <c r="G11">
        <f t="shared" si="2"/>
        <v>67.794985885224207</v>
      </c>
      <c r="H11">
        <f t="shared" si="3"/>
        <v>91.507597815915119</v>
      </c>
    </row>
    <row r="12" spans="1:8" x14ac:dyDescent="0.3">
      <c r="A12">
        <v>12</v>
      </c>
      <c r="C12">
        <f t="shared" si="0"/>
        <v>77.536277212074253</v>
      </c>
      <c r="D12">
        <f t="shared" si="1"/>
        <v>53.938808615656185</v>
      </c>
      <c r="E12">
        <v>12</v>
      </c>
      <c r="G12">
        <f t="shared" si="2"/>
        <v>69.513245228523687</v>
      </c>
      <c r="H12">
        <f t="shared" si="3"/>
        <v>93.202747536704862</v>
      </c>
    </row>
    <row r="13" spans="1:8" x14ac:dyDescent="0.3">
      <c r="A13">
        <v>13</v>
      </c>
      <c r="C13">
        <f t="shared" si="0"/>
        <v>79.116208417726298</v>
      </c>
      <c r="D13">
        <f t="shared" si="1"/>
        <v>55.533765405932343</v>
      </c>
      <c r="E13">
        <v>13</v>
      </c>
      <c r="G13">
        <f t="shared" si="2"/>
        <v>71.231504571823166</v>
      </c>
      <c r="H13">
        <f t="shared" si="3"/>
        <v>94.899092478665537</v>
      </c>
    </row>
    <row r="14" spans="1:8" x14ac:dyDescent="0.3">
      <c r="A14">
        <v>14</v>
      </c>
      <c r="C14">
        <f t="shared" si="0"/>
        <v>80.696139623378357</v>
      </c>
      <c r="D14">
        <f t="shared" si="1"/>
        <v>57.12769784433403</v>
      </c>
      <c r="E14">
        <v>14</v>
      </c>
      <c r="G14">
        <f t="shared" si="2"/>
        <v>72.949763915122645</v>
      </c>
      <c r="H14">
        <f t="shared" si="3"/>
        <v>96.596635964759869</v>
      </c>
    </row>
    <row r="15" spans="1:8" x14ac:dyDescent="0.3">
      <c r="A15">
        <v>15</v>
      </c>
      <c r="C15">
        <f t="shared" si="0"/>
        <v>82.276070829030402</v>
      </c>
      <c r="D15">
        <f t="shared" si="1"/>
        <v>58.720604104254718</v>
      </c>
      <c r="E15">
        <v>15</v>
      </c>
      <c r="G15">
        <f t="shared" si="2"/>
        <v>74.668023258422124</v>
      </c>
      <c r="H15">
        <f t="shared" si="3"/>
        <v>98.295381147545712</v>
      </c>
    </row>
    <row r="16" spans="1:8" x14ac:dyDescent="0.3">
      <c r="A16">
        <v>16</v>
      </c>
      <c r="C16">
        <f t="shared" si="0"/>
        <v>83.856002034682461</v>
      </c>
      <c r="D16">
        <f t="shared" si="1"/>
        <v>60.312482489084658</v>
      </c>
      <c r="E16">
        <v>16</v>
      </c>
      <c r="G16">
        <f t="shared" si="2"/>
        <v>76.386282601721604</v>
      </c>
      <c r="H16">
        <f t="shared" si="3"/>
        <v>99.99533100682595</v>
      </c>
    </row>
    <row r="17" spans="1:8" x14ac:dyDescent="0.3">
      <c r="A17">
        <v>17</v>
      </c>
      <c r="C17">
        <f t="shared" si="0"/>
        <v>85.435933240334506</v>
      </c>
      <c r="D17">
        <f t="shared" si="1"/>
        <v>61.903331433309489</v>
      </c>
      <c r="E17">
        <v>17</v>
      </c>
      <c r="G17">
        <f t="shared" si="2"/>
        <v>78.104541945021083</v>
      </c>
      <c r="H17">
        <f t="shared" si="3"/>
        <v>101.69648834741447</v>
      </c>
    </row>
    <row r="18" spans="1:8" x14ac:dyDescent="0.3">
      <c r="A18">
        <v>18</v>
      </c>
      <c r="C18">
        <f t="shared" si="0"/>
        <v>87.015864445986551</v>
      </c>
      <c r="D18">
        <f t="shared" si="1"/>
        <v>63.493149503527889</v>
      </c>
      <c r="E18">
        <v>18</v>
      </c>
      <c r="G18">
        <f t="shared" si="2"/>
        <v>79.822801288320562</v>
      </c>
      <c r="H18">
        <f t="shared" si="3"/>
        <v>103.39885579702192</v>
      </c>
    </row>
    <row r="19" spans="1:8" x14ac:dyDescent="0.3">
      <c r="A19">
        <v>19</v>
      </c>
      <c r="C19">
        <f t="shared" si="0"/>
        <v>88.59579565163861</v>
      </c>
      <c r="D19">
        <f t="shared" si="1"/>
        <v>65.08193539938614</v>
      </c>
      <c r="E19">
        <v>19</v>
      </c>
      <c r="G19">
        <f t="shared" si="2"/>
        <v>81.541060631620041</v>
      </c>
      <c r="H19">
        <f t="shared" si="3"/>
        <v>105.10243580426493</v>
      </c>
    </row>
    <row r="20" spans="1:8" x14ac:dyDescent="0.3">
      <c r="A20">
        <v>20</v>
      </c>
      <c r="C20">
        <f t="shared" si="0"/>
        <v>90.175726857290655</v>
      </c>
      <c r="D20">
        <f t="shared" si="1"/>
        <v>66.669687954428497</v>
      </c>
      <c r="E20">
        <v>20</v>
      </c>
      <c r="G20">
        <f t="shared" si="2"/>
        <v>83.259319974919521</v>
      </c>
      <c r="H20">
        <f t="shared" si="3"/>
        <v>106.80723063680222</v>
      </c>
    </row>
    <row r="21" spans="1:8" x14ac:dyDescent="0.3">
      <c r="A21">
        <v>21</v>
      </c>
      <c r="C21">
        <f t="shared" si="0"/>
        <v>91.7556580629427</v>
      </c>
      <c r="D21">
        <f t="shared" si="1"/>
        <v>68.256406136862182</v>
      </c>
      <c r="E21">
        <v>21</v>
      </c>
      <c r="G21">
        <f t="shared" si="2"/>
        <v>84.977579318219</v>
      </c>
      <c r="H21">
        <f t="shared" si="3"/>
        <v>108.51324237960105</v>
      </c>
    </row>
    <row r="22" spans="1:8" x14ac:dyDescent="0.3">
      <c r="A22">
        <v>22</v>
      </c>
      <c r="C22">
        <f t="shared" si="0"/>
        <v>93.335589268594759</v>
      </c>
      <c r="D22">
        <f t="shared" si="1"/>
        <v>69.842089050235472</v>
      </c>
      <c r="E22">
        <v>22</v>
      </c>
      <c r="G22">
        <f t="shared" si="2"/>
        <v>86.695838661518479</v>
      </c>
      <c r="H22">
        <f t="shared" si="3"/>
        <v>110.22047293333686</v>
      </c>
    </row>
    <row r="23" spans="1:8" x14ac:dyDescent="0.3">
      <c r="A23">
        <v>23</v>
      </c>
      <c r="C23">
        <f t="shared" si="0"/>
        <v>94.915520474246804</v>
      </c>
      <c r="D23">
        <f t="shared" si="1"/>
        <v>71.426735934028102</v>
      </c>
      <c r="E23">
        <v>23</v>
      </c>
      <c r="G23">
        <f t="shared" si="2"/>
        <v>88.414098004817959</v>
      </c>
      <c r="H23">
        <f t="shared" si="3"/>
        <v>111.92892401292897</v>
      </c>
    </row>
    <row r="24" spans="1:8" x14ac:dyDescent="0.3">
      <c r="A24">
        <v>24</v>
      </c>
      <c r="C24">
        <f t="shared" si="0"/>
        <v>96.495451679898849</v>
      </c>
      <c r="D24">
        <f t="shared" si="1"/>
        <v>73.010346164153219</v>
      </c>
      <c r="E24">
        <v>24</v>
      </c>
      <c r="G24">
        <f t="shared" si="2"/>
        <v>90.132357348117438</v>
      </c>
      <c r="H24">
        <f t="shared" si="3"/>
        <v>113.63859714621506</v>
      </c>
    </row>
    <row r="25" spans="1:8" x14ac:dyDescent="0.3">
      <c r="A25">
        <v>25</v>
      </c>
      <c r="C25">
        <f t="shared" si="0"/>
        <v>98.075382885550908</v>
      </c>
      <c r="D25">
        <f t="shared" si="1"/>
        <v>74.592919253369686</v>
      </c>
      <c r="E25">
        <v>25</v>
      </c>
      <c r="G25">
        <f t="shared" si="2"/>
        <v>91.850616691416917</v>
      </c>
      <c r="H25">
        <f t="shared" si="3"/>
        <v>115.34949367276681</v>
      </c>
    </row>
    <row r="26" spans="1:8" x14ac:dyDescent="0.3">
      <c r="A26">
        <v>26</v>
      </c>
      <c r="C26">
        <f t="shared" si="0"/>
        <v>99.655314091202953</v>
      </c>
      <c r="D26">
        <f t="shared" si="1"/>
        <v>76.174454851604381</v>
      </c>
      <c r="E26">
        <v>26</v>
      </c>
      <c r="G26">
        <f t="shared" si="2"/>
        <v>93.568876034716396</v>
      </c>
      <c r="H26">
        <f t="shared" si="3"/>
        <v>117.06161474284869</v>
      </c>
    </row>
    <row r="27" spans="1:8" x14ac:dyDescent="0.3">
      <c r="A27">
        <v>27</v>
      </c>
      <c r="C27">
        <f t="shared" si="0"/>
        <v>101.235245296855</v>
      </c>
      <c r="D27">
        <f t="shared" si="1"/>
        <v>77.754952746184145</v>
      </c>
      <c r="E27">
        <v>27</v>
      </c>
      <c r="G27">
        <f t="shared" si="2"/>
        <v>95.287135378015876</v>
      </c>
      <c r="H27">
        <f t="shared" si="3"/>
        <v>118.7749613165218</v>
      </c>
    </row>
    <row r="28" spans="1:8" x14ac:dyDescent="0.3">
      <c r="A28">
        <v>28</v>
      </c>
      <c r="C28">
        <f t="shared" si="0"/>
        <v>102.81517650250706</v>
      </c>
      <c r="D28">
        <f t="shared" si="1"/>
        <v>79.334412861976631</v>
      </c>
      <c r="E28">
        <v>28</v>
      </c>
      <c r="G28">
        <f t="shared" si="2"/>
        <v>97.005394721315355</v>
      </c>
      <c r="H28">
        <f t="shared" si="3"/>
        <v>120.48953416289461</v>
      </c>
    </row>
    <row r="29" spans="1:8" x14ac:dyDescent="0.3">
      <c r="A29">
        <v>29</v>
      </c>
      <c r="C29">
        <f t="shared" si="0"/>
        <v>104.3951077081591</v>
      </c>
      <c r="D29">
        <f t="shared" si="1"/>
        <v>80.912835261440009</v>
      </c>
      <c r="E29">
        <v>29</v>
      </c>
      <c r="G29">
        <f t="shared" si="2"/>
        <v>98.723654064614834</v>
      </c>
      <c r="H29">
        <f t="shared" si="3"/>
        <v>122.20533385952173</v>
      </c>
    </row>
    <row r="30" spans="1:8" x14ac:dyDescent="0.3">
      <c r="A30">
        <v>30</v>
      </c>
      <c r="C30">
        <f t="shared" si="0"/>
        <v>105.97503891381115</v>
      </c>
      <c r="D30">
        <f t="shared" si="1"/>
        <v>82.490220144581755</v>
      </c>
      <c r="E30">
        <v>30</v>
      </c>
      <c r="G30">
        <f t="shared" si="2"/>
        <v>100.44191340791431</v>
      </c>
      <c r="H30">
        <f t="shared" si="3"/>
        <v>123.92236079195179</v>
      </c>
    </row>
    <row r="31" spans="1:8" x14ac:dyDescent="0.3">
      <c r="A31">
        <v>31</v>
      </c>
      <c r="C31">
        <f t="shared" si="0"/>
        <v>107.55497011946321</v>
      </c>
      <c r="D31">
        <f t="shared" si="1"/>
        <v>84.066567848825997</v>
      </c>
      <c r="E31">
        <v>31</v>
      </c>
      <c r="G31">
        <f t="shared" si="2"/>
        <v>102.16017275121379</v>
      </c>
      <c r="H31">
        <f t="shared" si="3"/>
        <v>125.64061515342546</v>
      </c>
    </row>
    <row r="32" spans="1:8" x14ac:dyDescent="0.3">
      <c r="A32">
        <v>32</v>
      </c>
      <c r="C32">
        <f t="shared" si="0"/>
        <v>109.13490132511525</v>
      </c>
      <c r="D32">
        <f t="shared" si="1"/>
        <v>85.641878848790071</v>
      </c>
      <c r="E32">
        <v>32</v>
      </c>
      <c r="G32">
        <f t="shared" si="2"/>
        <v>103.87843209451327</v>
      </c>
      <c r="H32">
        <f t="shared" si="3"/>
        <v>127.36009694472395</v>
      </c>
    </row>
    <row r="33" spans="1:8" x14ac:dyDescent="0.3">
      <c r="A33">
        <v>33</v>
      </c>
      <c r="C33">
        <f t="shared" ref="C33:C64" si="4">60.1570339499017+(A33-1)*1.57993120565205</f>
        <v>110.7148325307673</v>
      </c>
      <c r="D33">
        <f t="shared" ref="D33:D64" si="5">0+1*C33-23.4309111818125*(1.0042194092827+(C33-101.308016877637)^2/56239.5163674555)^0.5</f>
        <v>87.216153755970495</v>
      </c>
      <c r="E33">
        <v>33</v>
      </c>
      <c r="G33">
        <f t="shared" ref="G33:G64" si="6">50.6123924522294+(E33-1)*1.71825934329948</f>
        <v>105.59669143781275</v>
      </c>
      <c r="H33">
        <f t="shared" ref="H33:H64" si="7">0+1*G33+23.4309111818125*(1.0042194092827+(G33-101.308016877637)^2/56239.5163674555)^0.5</f>
        <v>129.08080597416844</v>
      </c>
    </row>
    <row r="34" spans="1:8" x14ac:dyDescent="0.3">
      <c r="A34">
        <v>34</v>
      </c>
      <c r="C34">
        <f t="shared" si="4"/>
        <v>112.29476373641936</v>
      </c>
      <c r="D34">
        <f t="shared" si="5"/>
        <v>88.789393318338924</v>
      </c>
      <c r="E34">
        <v>34</v>
      </c>
      <c r="G34">
        <f t="shared" si="6"/>
        <v>107.31495078111223</v>
      </c>
      <c r="H34">
        <f t="shared" si="7"/>
        <v>130.80274185777031</v>
      </c>
    </row>
    <row r="35" spans="1:8" x14ac:dyDescent="0.3">
      <c r="A35">
        <v>35</v>
      </c>
      <c r="C35">
        <f t="shared" si="4"/>
        <v>113.8746949420714</v>
      </c>
      <c r="D35">
        <f t="shared" si="5"/>
        <v>90.361598419848406</v>
      </c>
      <c r="E35">
        <v>35</v>
      </c>
      <c r="G35">
        <f t="shared" si="6"/>
        <v>109.03321012441171</v>
      </c>
      <c r="H35">
        <f t="shared" si="7"/>
        <v>132.52590401953191</v>
      </c>
    </row>
    <row r="36" spans="1:8" x14ac:dyDescent="0.3">
      <c r="A36">
        <v>36</v>
      </c>
      <c r="C36">
        <f t="shared" si="4"/>
        <v>115.45462614772345</v>
      </c>
      <c r="D36">
        <f t="shared" si="5"/>
        <v>91.932770079851196</v>
      </c>
      <c r="E36">
        <v>36</v>
      </c>
      <c r="G36">
        <f t="shared" si="6"/>
        <v>110.75146946771119</v>
      </c>
      <c r="H36">
        <f t="shared" si="7"/>
        <v>134.25029169189744</v>
      </c>
    </row>
    <row r="37" spans="1:8" x14ac:dyDescent="0.3">
      <c r="A37">
        <v>37</v>
      </c>
      <c r="C37">
        <f t="shared" si="4"/>
        <v>117.0345573533755</v>
      </c>
      <c r="D37">
        <f t="shared" si="5"/>
        <v>93.502909452428526</v>
      </c>
      <c r="E37">
        <v>37</v>
      </c>
      <c r="G37">
        <f t="shared" si="6"/>
        <v>112.46972881101067</v>
      </c>
      <c r="H37">
        <f t="shared" si="7"/>
        <v>135.97590391635302</v>
      </c>
    </row>
    <row r="38" spans="1:8" x14ac:dyDescent="0.3">
      <c r="A38">
        <v>38</v>
      </c>
      <c r="C38">
        <f t="shared" si="4"/>
        <v>118.61448855902756</v>
      </c>
      <c r="D38">
        <f t="shared" si="5"/>
        <v>95.072017825633722</v>
      </c>
      <c r="E38">
        <v>38</v>
      </c>
      <c r="G38">
        <f t="shared" si="6"/>
        <v>114.18798815431015</v>
      </c>
      <c r="H38">
        <f t="shared" si="7"/>
        <v>137.70273954417468</v>
      </c>
    </row>
    <row r="39" spans="1:8" x14ac:dyDescent="0.3">
      <c r="A39">
        <v>39</v>
      </c>
      <c r="C39">
        <f t="shared" si="4"/>
        <v>120.19441976467959</v>
      </c>
      <c r="D39">
        <f t="shared" si="5"/>
        <v>96.640096620649558</v>
      </c>
      <c r="E39">
        <v>39</v>
      </c>
      <c r="G39">
        <f t="shared" si="6"/>
        <v>115.90624749760964</v>
      </c>
      <c r="H39">
        <f t="shared" si="7"/>
        <v>139.43079723732342</v>
      </c>
    </row>
    <row r="40" spans="1:8" x14ac:dyDescent="0.3">
      <c r="A40">
        <v>40</v>
      </c>
      <c r="C40">
        <f t="shared" si="4"/>
        <v>121.77435097033165</v>
      </c>
      <c r="D40">
        <f t="shared" si="5"/>
        <v>98.207147390861493</v>
      </c>
      <c r="E40">
        <v>40</v>
      </c>
      <c r="G40">
        <f t="shared" si="6"/>
        <v>117.62450684090912</v>
      </c>
      <c r="H40">
        <f t="shared" si="7"/>
        <v>141.16007546948515</v>
      </c>
    </row>
    <row r="41" spans="1:8" x14ac:dyDescent="0.3">
      <c r="A41">
        <v>41</v>
      </c>
      <c r="C41">
        <f t="shared" si="4"/>
        <v>123.35428217598371</v>
      </c>
      <c r="D41">
        <f t="shared" si="5"/>
        <v>99.77317182084748</v>
      </c>
      <c r="E41">
        <v>41</v>
      </c>
      <c r="G41">
        <f t="shared" si="6"/>
        <v>119.3427661842086</v>
      </c>
      <c r="H41">
        <f t="shared" si="7"/>
        <v>142.89057252725402</v>
      </c>
    </row>
    <row r="42" spans="1:8" x14ac:dyDescent="0.3">
      <c r="A42">
        <v>42</v>
      </c>
      <c r="C42">
        <f t="shared" si="4"/>
        <v>124.93421338163576</v>
      </c>
      <c r="D42">
        <f t="shared" si="5"/>
        <v>101.33817172528681</v>
      </c>
      <c r="E42">
        <v>42</v>
      </c>
      <c r="G42">
        <f t="shared" si="6"/>
        <v>121.06102552750808</v>
      </c>
      <c r="H42">
        <f t="shared" si="7"/>
        <v>144.62228651145676</v>
      </c>
    </row>
    <row r="43" spans="1:8" x14ac:dyDescent="0.3">
      <c r="A43">
        <v>43</v>
      </c>
      <c r="C43">
        <f t="shared" si="4"/>
        <v>126.5141445872878</v>
      </c>
      <c r="D43">
        <f t="shared" si="5"/>
        <v>102.9021490477889</v>
      </c>
      <c r="E43">
        <v>43</v>
      </c>
      <c r="G43">
        <f t="shared" si="6"/>
        <v>122.77928487080756</v>
      </c>
      <c r="H43">
        <f t="shared" si="7"/>
        <v>146.35521533861575</v>
      </c>
    </row>
    <row r="44" spans="1:8" x14ac:dyDescent="0.3">
      <c r="A44">
        <v>44</v>
      </c>
      <c r="C44">
        <f t="shared" si="4"/>
        <v>128.09407579293986</v>
      </c>
      <c r="D44">
        <f t="shared" si="5"/>
        <v>104.46510585964405</v>
      </c>
      <c r="E44">
        <v>44</v>
      </c>
      <c r="G44">
        <f t="shared" si="6"/>
        <v>124.49754421410704</v>
      </c>
      <c r="H44">
        <f t="shared" si="7"/>
        <v>148.08935674254843</v>
      </c>
    </row>
    <row r="45" spans="1:8" x14ac:dyDescent="0.3">
      <c r="A45">
        <v>45</v>
      </c>
      <c r="C45">
        <f t="shared" si="4"/>
        <v>129.67400699859189</v>
      </c>
      <c r="D45">
        <f t="shared" si="5"/>
        <v>106.02704435849797</v>
      </c>
      <c r="E45">
        <v>45</v>
      </c>
      <c r="G45">
        <f t="shared" si="6"/>
        <v>126.21580355740652</v>
      </c>
      <c r="H45">
        <f t="shared" si="7"/>
        <v>149.82470827609976</v>
      </c>
    </row>
    <row r="46" spans="1:8" x14ac:dyDescent="0.3">
      <c r="A46">
        <v>46</v>
      </c>
      <c r="C46">
        <f t="shared" si="4"/>
        <v>131.25393820424395</v>
      </c>
      <c r="D46">
        <f t="shared" si="5"/>
        <v>107.58796686695213</v>
      </c>
      <c r="E46">
        <v>46</v>
      </c>
      <c r="G46">
        <f t="shared" si="6"/>
        <v>127.934062900706</v>
      </c>
      <c r="H46">
        <f t="shared" si="7"/>
        <v>151.56126731300495</v>
      </c>
    </row>
    <row r="47" spans="1:8" x14ac:dyDescent="0.3">
      <c r="A47">
        <v>47</v>
      </c>
      <c r="C47">
        <f t="shared" si="4"/>
        <v>132.83386940989601</v>
      </c>
      <c r="D47">
        <f t="shared" si="5"/>
        <v>109.14787583109174</v>
      </c>
      <c r="E47">
        <v>47</v>
      </c>
      <c r="G47">
        <f t="shared" si="6"/>
        <v>129.65232224400546</v>
      </c>
      <c r="H47">
        <f t="shared" si="7"/>
        <v>153.29903104987943</v>
      </c>
    </row>
    <row r="48" spans="1:8" x14ac:dyDescent="0.3">
      <c r="A48">
        <v>48</v>
      </c>
      <c r="C48">
        <f t="shared" si="4"/>
        <v>134.41380061554804</v>
      </c>
      <c r="D48">
        <f t="shared" si="5"/>
        <v>110.70677381894369</v>
      </c>
      <c r="E48">
        <v>48</v>
      </c>
      <c r="G48">
        <f t="shared" si="6"/>
        <v>131.37058158730497</v>
      </c>
      <c r="H48">
        <f t="shared" si="7"/>
        <v>155.03799650833187</v>
      </c>
    </row>
    <row r="49" spans="1:8" x14ac:dyDescent="0.3">
      <c r="A49">
        <v>49</v>
      </c>
      <c r="C49">
        <f t="shared" si="4"/>
        <v>135.9937318212001</v>
      </c>
      <c r="D49">
        <f t="shared" si="5"/>
        <v>112.26466351886687</v>
      </c>
      <c r="E49">
        <v>49</v>
      </c>
      <c r="G49">
        <f t="shared" si="6"/>
        <v>133.08884093060442</v>
      </c>
      <c r="H49">
        <f t="shared" si="7"/>
        <v>156.77816053719741</v>
      </c>
    </row>
    <row r="50" spans="1:8" x14ac:dyDescent="0.3">
      <c r="A50">
        <v>50</v>
      </c>
      <c r="C50">
        <f t="shared" si="4"/>
        <v>137.57366302685216</v>
      </c>
      <c r="D50">
        <f t="shared" si="5"/>
        <v>113.82154773787643</v>
      </c>
      <c r="E50">
        <v>50</v>
      </c>
      <c r="G50">
        <f t="shared" si="6"/>
        <v>134.80710027390393</v>
      </c>
      <c r="H50">
        <f t="shared" si="7"/>
        <v>158.51951981488682</v>
      </c>
    </row>
    <row r="51" spans="1:8" x14ac:dyDescent="0.3">
      <c r="A51">
        <v>51</v>
      </c>
      <c r="C51">
        <f t="shared" si="4"/>
        <v>139.15359423250419</v>
      </c>
      <c r="D51">
        <f t="shared" si="5"/>
        <v>115.37742939990528</v>
      </c>
      <c r="E51">
        <v>51</v>
      </c>
      <c r="G51">
        <f t="shared" si="6"/>
        <v>136.52535961720338</v>
      </c>
      <c r="H51">
        <f t="shared" si="7"/>
        <v>160.26207085184745</v>
      </c>
    </row>
    <row r="52" spans="1:8" x14ac:dyDescent="0.3">
      <c r="A52">
        <v>52</v>
      </c>
      <c r="C52">
        <f t="shared" si="4"/>
        <v>140.73352543815625</v>
      </c>
      <c r="D52">
        <f t="shared" si="5"/>
        <v>116.93231154400475</v>
      </c>
      <c r="E52">
        <v>52</v>
      </c>
      <c r="G52">
        <f t="shared" si="6"/>
        <v>138.24361896050289</v>
      </c>
      <c r="H52">
        <f t="shared" si="7"/>
        <v>162.00580999313246</v>
      </c>
    </row>
    <row r="53" spans="1:8" x14ac:dyDescent="0.3">
      <c r="A53">
        <v>53</v>
      </c>
      <c r="C53">
        <f t="shared" si="4"/>
        <v>142.31345664380831</v>
      </c>
      <c r="D53">
        <f t="shared" si="5"/>
        <v>118.48619732248669</v>
      </c>
      <c r="E53">
        <v>53</v>
      </c>
      <c r="G53">
        <f t="shared" si="6"/>
        <v>139.96187830380234</v>
      </c>
      <c r="H53">
        <f t="shared" si="7"/>
        <v>163.75073342107305</v>
      </c>
    </row>
    <row r="54" spans="1:8" x14ac:dyDescent="0.3">
      <c r="A54">
        <v>54</v>
      </c>
      <c r="C54">
        <f t="shared" si="4"/>
        <v>143.89338784946034</v>
      </c>
      <c r="D54">
        <f t="shared" si="5"/>
        <v>120.0390899990103</v>
      </c>
      <c r="E54">
        <v>54</v>
      </c>
      <c r="G54">
        <f t="shared" si="6"/>
        <v>141.68013764710184</v>
      </c>
      <c r="H54">
        <f t="shared" si="7"/>
        <v>165.4968371580506</v>
      </c>
    </row>
    <row r="55" spans="1:8" x14ac:dyDescent="0.3">
      <c r="A55">
        <v>55</v>
      </c>
      <c r="C55">
        <f t="shared" si="4"/>
        <v>145.4733190551124</v>
      </c>
      <c r="D55">
        <f t="shared" si="5"/>
        <v>121.59099294661573</v>
      </c>
      <c r="E55">
        <v>55</v>
      </c>
      <c r="G55">
        <f t="shared" si="6"/>
        <v>143.39839699040132</v>
      </c>
      <c r="H55">
        <f t="shared" si="7"/>
        <v>167.24411706936243</v>
      </c>
    </row>
    <row r="56" spans="1:8" x14ac:dyDescent="0.3">
      <c r="A56">
        <v>56</v>
      </c>
      <c r="C56">
        <f t="shared" si="4"/>
        <v>147.05325026076446</v>
      </c>
      <c r="D56">
        <f t="shared" si="5"/>
        <v>123.14190964570696</v>
      </c>
      <c r="E56">
        <v>56</v>
      </c>
      <c r="G56">
        <f t="shared" si="6"/>
        <v>145.1166563337008</v>
      </c>
      <c r="H56">
        <f t="shared" si="7"/>
        <v>168.99256886617849</v>
      </c>
    </row>
    <row r="57" spans="1:8" x14ac:dyDescent="0.3">
      <c r="A57">
        <v>57</v>
      </c>
      <c r="C57">
        <f t="shared" si="4"/>
        <v>148.63318146641649</v>
      </c>
      <c r="D57">
        <f t="shared" si="5"/>
        <v>124.69184368198735</v>
      </c>
      <c r="E57">
        <v>57</v>
      </c>
      <c r="G57">
        <f t="shared" si="6"/>
        <v>146.83491567700028</v>
      </c>
      <c r="H57">
        <f t="shared" si="7"/>
        <v>170.74218810858255</v>
      </c>
    </row>
    <row r="58" spans="1:8" x14ac:dyDescent="0.3">
      <c r="A58">
        <v>58</v>
      </c>
      <c r="C58">
        <f t="shared" si="4"/>
        <v>150.21311267206855</v>
      </c>
      <c r="D58">
        <f t="shared" si="5"/>
        <v>126.24079874434997</v>
      </c>
      <c r="E58">
        <v>58</v>
      </c>
      <c r="G58">
        <f t="shared" si="6"/>
        <v>148.55317502029976</v>
      </c>
      <c r="H58">
        <f t="shared" si="7"/>
        <v>172.49297020869426</v>
      </c>
    </row>
    <row r="59" spans="1:8" x14ac:dyDescent="0.3">
      <c r="A59">
        <v>59</v>
      </c>
      <c r="C59">
        <f t="shared" si="4"/>
        <v>151.79304387772061</v>
      </c>
      <c r="D59">
        <f t="shared" si="5"/>
        <v>127.7887786227255</v>
      </c>
      <c r="E59">
        <v>59</v>
      </c>
      <c r="G59">
        <f t="shared" si="6"/>
        <v>150.27143436359924</v>
      </c>
      <c r="H59">
        <f t="shared" si="7"/>
        <v>174.24491043386638</v>
      </c>
    </row>
    <row r="60" spans="1:8" x14ac:dyDescent="0.3">
      <c r="A60">
        <v>60</v>
      </c>
      <c r="C60">
        <f t="shared" si="4"/>
        <v>153.37297508337264</v>
      </c>
      <c r="D60">
        <f t="shared" si="5"/>
        <v>129.3357872058908</v>
      </c>
      <c r="E60">
        <v>60</v>
      </c>
      <c r="G60">
        <f t="shared" si="6"/>
        <v>151.98969370689872</v>
      </c>
      <c r="H60">
        <f t="shared" si="7"/>
        <v>175.99800390995298</v>
      </c>
    </row>
    <row r="61" spans="1:8" x14ac:dyDescent="0.3">
      <c r="A61">
        <v>61</v>
      </c>
      <c r="C61">
        <f t="shared" si="4"/>
        <v>154.95290628902472</v>
      </c>
      <c r="D61">
        <f t="shared" si="5"/>
        <v>130.88182847924077</v>
      </c>
      <c r="E61">
        <v>61</v>
      </c>
      <c r="G61">
        <f t="shared" si="6"/>
        <v>153.7079530501982</v>
      </c>
      <c r="H61">
        <f t="shared" si="7"/>
        <v>177.752245624643</v>
      </c>
    </row>
    <row r="62" spans="1:8" x14ac:dyDescent="0.3">
      <c r="A62">
        <v>62</v>
      </c>
      <c r="C62">
        <f t="shared" si="4"/>
        <v>156.53283749467676</v>
      </c>
      <c r="D62">
        <f t="shared" si="5"/>
        <v>132.42690652252577</v>
      </c>
      <c r="E62">
        <v>62</v>
      </c>
      <c r="G62">
        <f t="shared" si="6"/>
        <v>155.42621239349768</v>
      </c>
      <c r="H62">
        <f t="shared" si="7"/>
        <v>179.50763043085453</v>
      </c>
    </row>
    <row r="63" spans="1:8" x14ac:dyDescent="0.3">
      <c r="A63">
        <v>63</v>
      </c>
      <c r="C63">
        <f t="shared" si="4"/>
        <v>158.11276870032879</v>
      </c>
      <c r="D63">
        <f t="shared" si="5"/>
        <v>133.97102550755869</v>
      </c>
      <c r="E63">
        <v>63</v>
      </c>
      <c r="G63">
        <f t="shared" si="6"/>
        <v>157.14447173679716</v>
      </c>
      <c r="H63">
        <f t="shared" si="7"/>
        <v>181.26415305018486</v>
      </c>
    </row>
    <row r="64" spans="1:8" x14ac:dyDescent="0.3">
      <c r="A64">
        <v>64</v>
      </c>
      <c r="C64">
        <f t="shared" si="4"/>
        <v>159.69269990598087</v>
      </c>
      <c r="D64">
        <f t="shared" si="5"/>
        <v>135.51418969589275</v>
      </c>
      <c r="E64">
        <v>64</v>
      </c>
      <c r="G64">
        <f t="shared" si="6"/>
        <v>158.86273108009664</v>
      </c>
      <c r="H64">
        <f t="shared" si="7"/>
        <v>183.02180807641096</v>
      </c>
    </row>
    <row r="65" spans="1:8" x14ac:dyDescent="0.3">
      <c r="A65">
        <v>65</v>
      </c>
      <c r="C65">
        <f t="shared" ref="C65:C70" si="8">60.1570339499017+(A65-1)*1.57993120565205</f>
        <v>161.2726311116329</v>
      </c>
      <c r="D65">
        <f t="shared" ref="D65:D70" si="9">0+1*C65-23.4309111818125*(1.0042194092827+(C65-101.308016877637)^2/56239.5163674555)^0.5</f>
        <v>137.05640343647408</v>
      </c>
      <c r="E65">
        <v>65</v>
      </c>
      <c r="G65">
        <f t="shared" ref="G65:G70" si="10">50.6123924522294+(E65-1)*1.71825934329948</f>
        <v>160.58099042339612</v>
      </c>
      <c r="H65">
        <f t="shared" ref="H65:H70" si="11">0+1*G65+23.4309111818125*(1.0042194092827+(G65-101.308016877637)^2/56239.5163674555)^0.5</f>
        <v>184.78058997903585</v>
      </c>
    </row>
    <row r="66" spans="1:8" x14ac:dyDescent="0.3">
      <c r="A66">
        <v>66</v>
      </c>
      <c r="C66">
        <f t="shared" si="8"/>
        <v>162.85256231728494</v>
      </c>
      <c r="D66">
        <f t="shared" si="9"/>
        <v>138.59767116327149</v>
      </c>
      <c r="E66">
        <v>66</v>
      </c>
      <c r="G66">
        <f t="shared" si="10"/>
        <v>162.2992497666956</v>
      </c>
      <c r="H66">
        <f t="shared" si="11"/>
        <v>186.54049310687529</v>
      </c>
    </row>
    <row r="67" spans="1:8" x14ac:dyDescent="0.3">
      <c r="A67">
        <v>67</v>
      </c>
      <c r="C67">
        <f t="shared" si="8"/>
        <v>164.43249352293702</v>
      </c>
      <c r="D67">
        <f t="shared" si="9"/>
        <v>140.13799739288584</v>
      </c>
      <c r="E67">
        <v>67</v>
      </c>
      <c r="G67">
        <f t="shared" si="10"/>
        <v>164.01750910999507</v>
      </c>
      <c r="H67">
        <f t="shared" si="11"/>
        <v>188.30151169168053</v>
      </c>
    </row>
    <row r="68" spans="1:8" x14ac:dyDescent="0.3">
      <c r="A68">
        <v>68</v>
      </c>
      <c r="C68">
        <f t="shared" si="8"/>
        <v>166.01242472858905</v>
      </c>
      <c r="D68">
        <f t="shared" si="9"/>
        <v>141.67738672214196</v>
      </c>
      <c r="E68">
        <v>68</v>
      </c>
      <c r="G68">
        <f t="shared" si="10"/>
        <v>165.73576845329455</v>
      </c>
      <c r="H68">
        <f t="shared" si="11"/>
        <v>190.06363985179181</v>
      </c>
    </row>
    <row r="69" spans="1:8" x14ac:dyDescent="0.3">
      <c r="A69">
        <v>69</v>
      </c>
      <c r="C69">
        <f t="shared" si="8"/>
        <v>167.59235593424108</v>
      </c>
      <c r="D69">
        <f t="shared" si="9"/>
        <v>143.21584382566624</v>
      </c>
      <c r="E69">
        <v>69</v>
      </c>
      <c r="G69">
        <f t="shared" si="10"/>
        <v>167.45402779659403</v>
      </c>
      <c r="H69">
        <f t="shared" si="11"/>
        <v>191.82687159581752</v>
      </c>
    </row>
    <row r="70" spans="1:8" x14ac:dyDescent="0.3">
      <c r="A70">
        <v>70</v>
      </c>
      <c r="C70">
        <f t="shared" si="8"/>
        <v>169.17228713989317</v>
      </c>
      <c r="D70">
        <f t="shared" si="9"/>
        <v>144.75337345345156</v>
      </c>
      <c r="E70">
        <v>70</v>
      </c>
      <c r="G70">
        <f t="shared" si="10"/>
        <v>169.17228713989351</v>
      </c>
      <c r="H70">
        <f t="shared" si="11"/>
        <v>193.59120082633515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CBC20-2673-464A-B4C3-90EC70769C26}">
  <sheetPr codeName="Sheet3"/>
  <dimension ref="A1:M132"/>
  <sheetViews>
    <sheetView workbookViewId="0">
      <selection activeCell="H22" sqref="H22"/>
    </sheetView>
  </sheetViews>
  <sheetFormatPr baseColWidth="10" defaultColWidth="8.88671875" defaultRowHeight="14.4" x14ac:dyDescent="0.3"/>
  <cols>
    <col min="1" max="1" width="10.44140625" customWidth="1"/>
    <col min="2" max="2" width="16.6640625" style="3" bestFit="1" customWidth="1"/>
    <col min="12" max="12" width="10.44140625" bestFit="1" customWidth="1"/>
  </cols>
  <sheetData>
    <row r="1" spans="1:13" ht="15.6" x14ac:dyDescent="0.3">
      <c r="A1" s="5" t="s">
        <v>21</v>
      </c>
      <c r="B1" s="6" t="s">
        <v>22</v>
      </c>
      <c r="E1" t="s">
        <v>29</v>
      </c>
      <c r="L1" s="8"/>
      <c r="M1" s="8"/>
    </row>
    <row r="2" spans="1:13" x14ac:dyDescent="0.3">
      <c r="A2" s="9">
        <v>40513</v>
      </c>
      <c r="B2" s="8">
        <v>1257.6400000000001</v>
      </c>
      <c r="E2" s="1" t="s">
        <v>25</v>
      </c>
    </row>
    <row r="3" spans="1:13" x14ac:dyDescent="0.3">
      <c r="A3" s="9">
        <v>40544</v>
      </c>
      <c r="B3" s="8">
        <v>1286.1199999999999</v>
      </c>
    </row>
    <row r="4" spans="1:13" x14ac:dyDescent="0.3">
      <c r="A4" s="9">
        <v>40575</v>
      </c>
      <c r="B4" s="8">
        <v>1327.22</v>
      </c>
    </row>
    <row r="5" spans="1:13" x14ac:dyDescent="0.3">
      <c r="A5" s="9">
        <v>40603</v>
      </c>
      <c r="B5" s="8">
        <v>1325.83</v>
      </c>
    </row>
    <row r="6" spans="1:13" x14ac:dyDescent="0.3">
      <c r="A6" s="9">
        <v>40634</v>
      </c>
      <c r="B6" s="8">
        <v>1363.61</v>
      </c>
    </row>
    <row r="7" spans="1:13" x14ac:dyDescent="0.3">
      <c r="A7" s="9">
        <v>40664</v>
      </c>
      <c r="B7" s="8">
        <v>1345.2</v>
      </c>
    </row>
    <row r="8" spans="1:13" x14ac:dyDescent="0.3">
      <c r="A8" s="9">
        <v>40695</v>
      </c>
      <c r="B8" s="8">
        <v>1320.64</v>
      </c>
    </row>
    <row r="9" spans="1:13" x14ac:dyDescent="0.3">
      <c r="A9" s="9">
        <v>40725</v>
      </c>
      <c r="B9" s="8">
        <v>1292.28</v>
      </c>
    </row>
    <row r="10" spans="1:13" x14ac:dyDescent="0.3">
      <c r="A10" s="9">
        <v>40756</v>
      </c>
      <c r="B10" s="8">
        <v>1218.8900000000001</v>
      </c>
    </row>
    <row r="11" spans="1:13" x14ac:dyDescent="0.3">
      <c r="A11" s="9">
        <v>40787</v>
      </c>
      <c r="B11" s="8">
        <v>1131.42</v>
      </c>
    </row>
    <row r="12" spans="1:13" x14ac:dyDescent="0.3">
      <c r="A12" s="9">
        <v>40817</v>
      </c>
      <c r="B12" s="8">
        <v>1253.3</v>
      </c>
    </row>
    <row r="13" spans="1:13" x14ac:dyDescent="0.3">
      <c r="A13" s="9">
        <v>40848</v>
      </c>
      <c r="B13" s="8">
        <v>1246.96</v>
      </c>
    </row>
    <row r="14" spans="1:13" x14ac:dyDescent="0.3">
      <c r="A14" s="9">
        <v>40878</v>
      </c>
      <c r="B14" s="8">
        <v>1257.5999999999999</v>
      </c>
    </row>
    <row r="15" spans="1:13" x14ac:dyDescent="0.3">
      <c r="A15" s="9">
        <v>40909</v>
      </c>
      <c r="B15" s="8">
        <v>1312.41</v>
      </c>
    </row>
    <row r="16" spans="1:13" x14ac:dyDescent="0.3">
      <c r="A16" s="9">
        <v>40940</v>
      </c>
      <c r="B16" s="8">
        <v>1365.68</v>
      </c>
    </row>
    <row r="17" spans="1:2" x14ac:dyDescent="0.3">
      <c r="A17" s="9">
        <v>40969</v>
      </c>
      <c r="B17" s="8">
        <v>1408.47</v>
      </c>
    </row>
    <row r="18" spans="1:2" x14ac:dyDescent="0.3">
      <c r="A18" s="9">
        <v>41000</v>
      </c>
      <c r="B18" s="8">
        <v>1397.91</v>
      </c>
    </row>
    <row r="19" spans="1:2" x14ac:dyDescent="0.3">
      <c r="A19" s="9">
        <v>41030</v>
      </c>
      <c r="B19" s="8">
        <v>1310.33</v>
      </c>
    </row>
    <row r="20" spans="1:2" x14ac:dyDescent="0.3">
      <c r="A20" s="9">
        <v>41061</v>
      </c>
      <c r="B20" s="8">
        <v>1362.16</v>
      </c>
    </row>
    <row r="21" spans="1:2" x14ac:dyDescent="0.3">
      <c r="A21" s="9">
        <v>41091</v>
      </c>
      <c r="B21" s="8">
        <v>1379.32</v>
      </c>
    </row>
    <row r="22" spans="1:2" x14ac:dyDescent="0.3">
      <c r="A22" s="9">
        <v>41122</v>
      </c>
      <c r="B22" s="8">
        <v>1406.58</v>
      </c>
    </row>
    <row r="23" spans="1:2" x14ac:dyDescent="0.3">
      <c r="A23" s="9">
        <v>41153</v>
      </c>
      <c r="B23" s="8">
        <v>1440.67</v>
      </c>
    </row>
    <row r="24" spans="1:2" x14ac:dyDescent="0.3">
      <c r="A24" s="9">
        <v>41183</v>
      </c>
      <c r="B24" s="8">
        <v>1412.16</v>
      </c>
    </row>
    <row r="25" spans="1:2" x14ac:dyDescent="0.3">
      <c r="A25" s="9">
        <v>41214</v>
      </c>
      <c r="B25" s="8">
        <v>1416.18</v>
      </c>
    </row>
    <row r="26" spans="1:2" x14ac:dyDescent="0.3">
      <c r="A26" s="9">
        <v>41244</v>
      </c>
      <c r="B26" s="8">
        <v>1426.19</v>
      </c>
    </row>
    <row r="27" spans="1:2" x14ac:dyDescent="0.3">
      <c r="A27" s="9">
        <v>41275</v>
      </c>
      <c r="B27" s="8">
        <v>1498.11</v>
      </c>
    </row>
    <row r="28" spans="1:2" x14ac:dyDescent="0.3">
      <c r="A28" s="9">
        <v>41306</v>
      </c>
      <c r="B28" s="8">
        <v>1514.68</v>
      </c>
    </row>
    <row r="29" spans="1:2" x14ac:dyDescent="0.3">
      <c r="A29" s="9">
        <v>41334</v>
      </c>
      <c r="B29" s="8">
        <v>1569.19</v>
      </c>
    </row>
    <row r="30" spans="1:2" x14ac:dyDescent="0.3">
      <c r="A30" s="9">
        <v>41365</v>
      </c>
      <c r="B30" s="8">
        <v>1597.57</v>
      </c>
    </row>
    <row r="31" spans="1:2" x14ac:dyDescent="0.3">
      <c r="A31" s="9">
        <v>41395</v>
      </c>
      <c r="B31" s="8">
        <v>1630.74</v>
      </c>
    </row>
    <row r="32" spans="1:2" x14ac:dyDescent="0.3">
      <c r="A32" s="9">
        <v>41426</v>
      </c>
      <c r="B32" s="8">
        <v>1606.28</v>
      </c>
    </row>
    <row r="33" spans="1:2" x14ac:dyDescent="0.3">
      <c r="A33" s="9">
        <v>41456</v>
      </c>
      <c r="B33" s="8">
        <v>1685.73</v>
      </c>
    </row>
    <row r="34" spans="1:2" x14ac:dyDescent="0.3">
      <c r="A34" s="9">
        <v>41487</v>
      </c>
      <c r="B34" s="8">
        <v>1632.97</v>
      </c>
    </row>
    <row r="35" spans="1:2" x14ac:dyDescent="0.3">
      <c r="A35" s="9">
        <v>41518</v>
      </c>
      <c r="B35" s="8">
        <v>1681.55</v>
      </c>
    </row>
    <row r="36" spans="1:2" x14ac:dyDescent="0.3">
      <c r="A36" s="9">
        <v>41548</v>
      </c>
      <c r="B36" s="8">
        <v>1756.54</v>
      </c>
    </row>
    <row r="37" spans="1:2" x14ac:dyDescent="0.3">
      <c r="A37" s="9">
        <v>41579</v>
      </c>
      <c r="B37" s="8">
        <v>1805.81</v>
      </c>
    </row>
    <row r="38" spans="1:2" x14ac:dyDescent="0.3">
      <c r="A38" s="9">
        <v>41609</v>
      </c>
      <c r="B38" s="8">
        <v>1848.36</v>
      </c>
    </row>
    <row r="39" spans="1:2" x14ac:dyDescent="0.3">
      <c r="A39" s="9">
        <v>41640</v>
      </c>
      <c r="B39" s="8">
        <v>1782.59</v>
      </c>
    </row>
    <row r="40" spans="1:2" x14ac:dyDescent="0.3">
      <c r="A40" s="9">
        <v>41671</v>
      </c>
      <c r="B40" s="8">
        <v>1859.45</v>
      </c>
    </row>
    <row r="41" spans="1:2" x14ac:dyDescent="0.3">
      <c r="A41" s="9">
        <v>41699</v>
      </c>
      <c r="B41" s="8">
        <v>1872.34</v>
      </c>
    </row>
    <row r="42" spans="1:2" x14ac:dyDescent="0.3">
      <c r="A42" s="9">
        <v>41730</v>
      </c>
      <c r="B42" s="8">
        <v>1883.95</v>
      </c>
    </row>
    <row r="43" spans="1:2" x14ac:dyDescent="0.3">
      <c r="A43" s="9">
        <v>41760</v>
      </c>
      <c r="B43" s="8">
        <v>1923.57</v>
      </c>
    </row>
    <row r="44" spans="1:2" x14ac:dyDescent="0.3">
      <c r="A44" s="9">
        <v>41791</v>
      </c>
      <c r="B44" s="8">
        <v>1960.23</v>
      </c>
    </row>
    <row r="45" spans="1:2" x14ac:dyDescent="0.3">
      <c r="A45" s="9">
        <v>41821</v>
      </c>
      <c r="B45" s="8">
        <v>1930.67</v>
      </c>
    </row>
    <row r="46" spans="1:2" x14ac:dyDescent="0.3">
      <c r="A46" s="9">
        <v>41852</v>
      </c>
      <c r="B46" s="8">
        <v>2003.37</v>
      </c>
    </row>
    <row r="47" spans="1:2" x14ac:dyDescent="0.3">
      <c r="A47" s="9">
        <v>41883</v>
      </c>
      <c r="B47" s="8">
        <v>1972.29</v>
      </c>
    </row>
    <row r="48" spans="1:2" x14ac:dyDescent="0.3">
      <c r="A48" s="9">
        <v>41913</v>
      </c>
      <c r="B48" s="8">
        <v>2018.05</v>
      </c>
    </row>
    <row r="49" spans="1:2" x14ac:dyDescent="0.3">
      <c r="A49" s="9">
        <v>41944</v>
      </c>
      <c r="B49" s="8">
        <v>2067.56</v>
      </c>
    </row>
    <row r="50" spans="1:2" x14ac:dyDescent="0.3">
      <c r="A50" s="9">
        <v>41974</v>
      </c>
      <c r="B50" s="8">
        <v>2058.9</v>
      </c>
    </row>
    <row r="51" spans="1:2" x14ac:dyDescent="0.3">
      <c r="A51" s="9">
        <v>42005</v>
      </c>
      <c r="B51" s="8">
        <v>1994.99</v>
      </c>
    </row>
    <row r="52" spans="1:2" x14ac:dyDescent="0.3">
      <c r="A52" s="9">
        <v>42036</v>
      </c>
      <c r="B52" s="8">
        <v>2104.5</v>
      </c>
    </row>
    <row r="53" spans="1:2" x14ac:dyDescent="0.3">
      <c r="A53" s="9">
        <v>42064</v>
      </c>
      <c r="B53" s="8">
        <v>2067.89</v>
      </c>
    </row>
    <row r="54" spans="1:2" x14ac:dyDescent="0.3">
      <c r="A54" s="9">
        <v>42095</v>
      </c>
      <c r="B54" s="8">
        <v>2085.5100000000002</v>
      </c>
    </row>
    <row r="55" spans="1:2" x14ac:dyDescent="0.3">
      <c r="A55" s="9">
        <v>42125</v>
      </c>
      <c r="B55" s="8">
        <v>2107.39</v>
      </c>
    </row>
    <row r="56" spans="1:2" x14ac:dyDescent="0.3">
      <c r="A56" s="9">
        <v>42156</v>
      </c>
      <c r="B56" s="8">
        <v>2063.11</v>
      </c>
    </row>
    <row r="57" spans="1:2" x14ac:dyDescent="0.3">
      <c r="A57" s="9">
        <v>42186</v>
      </c>
      <c r="B57" s="8">
        <v>2103.84</v>
      </c>
    </row>
    <row r="58" spans="1:2" x14ac:dyDescent="0.3">
      <c r="A58" s="9">
        <v>42217</v>
      </c>
      <c r="B58" s="8">
        <v>1972.18</v>
      </c>
    </row>
    <row r="59" spans="1:2" x14ac:dyDescent="0.3">
      <c r="A59" s="9">
        <v>42248</v>
      </c>
      <c r="B59" s="8">
        <v>1920.03</v>
      </c>
    </row>
    <row r="60" spans="1:2" x14ac:dyDescent="0.3">
      <c r="A60" s="9">
        <v>42278</v>
      </c>
      <c r="B60" s="8">
        <v>2079.36</v>
      </c>
    </row>
    <row r="61" spans="1:2" x14ac:dyDescent="0.3">
      <c r="A61" s="9">
        <v>42309</v>
      </c>
      <c r="B61" s="8">
        <v>2080.41</v>
      </c>
    </row>
    <row r="62" spans="1:2" x14ac:dyDescent="0.3">
      <c r="A62" s="9">
        <v>42339</v>
      </c>
      <c r="B62" s="8">
        <v>2043.94</v>
      </c>
    </row>
    <row r="63" spans="1:2" x14ac:dyDescent="0.3">
      <c r="A63" s="9">
        <v>42370</v>
      </c>
      <c r="B63" s="8">
        <v>1940.24</v>
      </c>
    </row>
    <row r="64" spans="1:2" x14ac:dyDescent="0.3">
      <c r="A64" s="9">
        <v>42401</v>
      </c>
      <c r="B64" s="8">
        <v>1932.23</v>
      </c>
    </row>
    <row r="65" spans="1:2" x14ac:dyDescent="0.3">
      <c r="A65" s="9">
        <v>42430</v>
      </c>
      <c r="B65" s="8">
        <v>2059.7399999999998</v>
      </c>
    </row>
    <row r="66" spans="1:2" x14ac:dyDescent="0.3">
      <c r="A66" s="9">
        <v>42461</v>
      </c>
      <c r="B66" s="8">
        <v>2065.3000000000002</v>
      </c>
    </row>
    <row r="67" spans="1:2" x14ac:dyDescent="0.3">
      <c r="A67" s="9">
        <v>42491</v>
      </c>
      <c r="B67" s="8">
        <v>2096.9499999999998</v>
      </c>
    </row>
    <row r="68" spans="1:2" x14ac:dyDescent="0.3">
      <c r="A68" s="9">
        <v>42522</v>
      </c>
      <c r="B68" s="8">
        <v>2098.86</v>
      </c>
    </row>
    <row r="69" spans="1:2" x14ac:dyDescent="0.3">
      <c r="A69" s="9">
        <v>42552</v>
      </c>
      <c r="B69" s="8">
        <v>2173.6</v>
      </c>
    </row>
    <row r="70" spans="1:2" x14ac:dyDescent="0.3">
      <c r="A70" s="9">
        <v>42583</v>
      </c>
      <c r="B70" s="8">
        <v>2170.9499999999998</v>
      </c>
    </row>
    <row r="71" spans="1:2" x14ac:dyDescent="0.3">
      <c r="A71" s="9">
        <v>42614</v>
      </c>
      <c r="B71" s="8">
        <v>2168.27</v>
      </c>
    </row>
    <row r="72" spans="1:2" x14ac:dyDescent="0.3">
      <c r="A72" s="9">
        <v>42644</v>
      </c>
      <c r="B72" s="8">
        <v>2126.15</v>
      </c>
    </row>
    <row r="73" spans="1:2" x14ac:dyDescent="0.3">
      <c r="A73" s="9">
        <v>42675</v>
      </c>
      <c r="B73" s="8">
        <v>2198.81</v>
      </c>
    </row>
    <row r="74" spans="1:2" x14ac:dyDescent="0.3">
      <c r="A74" s="9">
        <v>42705</v>
      </c>
      <c r="B74" s="8">
        <v>2238.83</v>
      </c>
    </row>
    <row r="75" spans="1:2" x14ac:dyDescent="0.3">
      <c r="A75" s="9">
        <v>42736</v>
      </c>
      <c r="B75" s="8">
        <v>2278.87</v>
      </c>
    </row>
    <row r="76" spans="1:2" x14ac:dyDescent="0.3">
      <c r="A76" s="9">
        <v>42767</v>
      </c>
      <c r="B76" s="8">
        <v>2363.64</v>
      </c>
    </row>
    <row r="77" spans="1:2" x14ac:dyDescent="0.3">
      <c r="A77" s="9">
        <v>42795</v>
      </c>
      <c r="B77" s="8">
        <v>2362.7199999999998</v>
      </c>
    </row>
    <row r="78" spans="1:2" x14ac:dyDescent="0.3">
      <c r="A78" s="9">
        <v>42826</v>
      </c>
      <c r="B78" s="8">
        <v>2384.1999999999998</v>
      </c>
    </row>
    <row r="79" spans="1:2" x14ac:dyDescent="0.3">
      <c r="A79" s="9">
        <v>42856</v>
      </c>
      <c r="B79" s="8">
        <v>2411.8000000000002</v>
      </c>
    </row>
    <row r="80" spans="1:2" x14ac:dyDescent="0.3">
      <c r="A80" s="9">
        <v>42887</v>
      </c>
      <c r="B80" s="8">
        <v>2423.41</v>
      </c>
    </row>
    <row r="81" spans="1:2" x14ac:dyDescent="0.3">
      <c r="A81" s="9">
        <v>42917</v>
      </c>
      <c r="B81" s="8">
        <v>2470.3000000000002</v>
      </c>
    </row>
    <row r="82" spans="1:2" x14ac:dyDescent="0.3">
      <c r="A82" s="9">
        <v>42948</v>
      </c>
      <c r="B82" s="8">
        <v>2471.65</v>
      </c>
    </row>
    <row r="83" spans="1:2" x14ac:dyDescent="0.3">
      <c r="A83" s="9">
        <v>42979</v>
      </c>
      <c r="B83" s="8">
        <v>2519.36</v>
      </c>
    </row>
    <row r="84" spans="1:2" x14ac:dyDescent="0.3">
      <c r="A84" s="9">
        <v>43009</v>
      </c>
      <c r="B84" s="8">
        <v>2575.2600000000002</v>
      </c>
    </row>
    <row r="85" spans="1:2" x14ac:dyDescent="0.3">
      <c r="A85" s="9">
        <v>43040</v>
      </c>
      <c r="B85" s="8">
        <v>2647.58</v>
      </c>
    </row>
    <row r="86" spans="1:2" x14ac:dyDescent="0.3">
      <c r="A86" s="9">
        <v>43070</v>
      </c>
      <c r="B86" s="8">
        <v>2673.61</v>
      </c>
    </row>
    <row r="87" spans="1:2" x14ac:dyDescent="0.3">
      <c r="A87" s="9">
        <v>43101</v>
      </c>
      <c r="B87" s="8">
        <v>2823.81</v>
      </c>
    </row>
    <row r="88" spans="1:2" x14ac:dyDescent="0.3">
      <c r="A88" s="9">
        <v>43132</v>
      </c>
      <c r="B88" s="8">
        <v>2713.83</v>
      </c>
    </row>
    <row r="89" spans="1:2" x14ac:dyDescent="0.3">
      <c r="A89" s="9">
        <v>43160</v>
      </c>
      <c r="B89" s="8">
        <v>2640.87</v>
      </c>
    </row>
    <row r="90" spans="1:2" x14ac:dyDescent="0.3">
      <c r="A90" s="9">
        <v>43191</v>
      </c>
      <c r="B90" s="8">
        <v>2648.05</v>
      </c>
    </row>
    <row r="91" spans="1:2" x14ac:dyDescent="0.3">
      <c r="A91" s="9">
        <v>43221</v>
      </c>
      <c r="B91" s="8">
        <v>2705.27</v>
      </c>
    </row>
    <row r="92" spans="1:2" x14ac:dyDescent="0.3">
      <c r="A92" s="9">
        <v>43252</v>
      </c>
      <c r="B92" s="8">
        <v>2718.37</v>
      </c>
    </row>
    <row r="93" spans="1:2" x14ac:dyDescent="0.3">
      <c r="A93" s="9">
        <v>43282</v>
      </c>
      <c r="B93" s="8">
        <v>2816.29</v>
      </c>
    </row>
    <row r="94" spans="1:2" x14ac:dyDescent="0.3">
      <c r="A94" s="9">
        <v>43313</v>
      </c>
      <c r="B94" s="8">
        <v>2901.52</v>
      </c>
    </row>
    <row r="95" spans="1:2" x14ac:dyDescent="0.3">
      <c r="A95" s="9">
        <v>43344</v>
      </c>
      <c r="B95" s="8">
        <v>2913.98</v>
      </c>
    </row>
    <row r="96" spans="1:2" x14ac:dyDescent="0.3">
      <c r="A96" s="9">
        <v>43374</v>
      </c>
      <c r="B96" s="8">
        <v>2711.74</v>
      </c>
    </row>
    <row r="97" spans="1:2" x14ac:dyDescent="0.3">
      <c r="A97" s="9">
        <v>43405</v>
      </c>
      <c r="B97" s="8">
        <v>2760.17</v>
      </c>
    </row>
    <row r="98" spans="1:2" x14ac:dyDescent="0.3">
      <c r="A98" s="9">
        <v>43435</v>
      </c>
      <c r="B98" s="8">
        <v>2506.85</v>
      </c>
    </row>
    <row r="99" spans="1:2" x14ac:dyDescent="0.3">
      <c r="A99" s="9">
        <v>43466</v>
      </c>
      <c r="B99" s="8">
        <v>2704.1</v>
      </c>
    </row>
    <row r="100" spans="1:2" x14ac:dyDescent="0.3">
      <c r="A100" s="9">
        <v>43497</v>
      </c>
      <c r="B100" s="8">
        <v>2784.49</v>
      </c>
    </row>
    <row r="101" spans="1:2" x14ac:dyDescent="0.3">
      <c r="A101" s="9">
        <v>43525</v>
      </c>
      <c r="B101" s="8">
        <v>2834.4</v>
      </c>
    </row>
    <row r="102" spans="1:2" x14ac:dyDescent="0.3">
      <c r="A102" s="9">
        <v>43556</v>
      </c>
      <c r="B102" s="8">
        <v>2945.83</v>
      </c>
    </row>
    <row r="103" spans="1:2" x14ac:dyDescent="0.3">
      <c r="A103" s="9">
        <v>43586</v>
      </c>
      <c r="B103" s="8">
        <v>2752.06</v>
      </c>
    </row>
    <row r="104" spans="1:2" x14ac:dyDescent="0.3">
      <c r="A104" s="9">
        <v>43617</v>
      </c>
      <c r="B104" s="8">
        <v>2941.76</v>
      </c>
    </row>
    <row r="105" spans="1:2" x14ac:dyDescent="0.3">
      <c r="A105" s="9">
        <v>43647</v>
      </c>
      <c r="B105" s="8">
        <v>2980.38</v>
      </c>
    </row>
    <row r="106" spans="1:2" x14ac:dyDescent="0.3">
      <c r="A106" s="9">
        <v>43678</v>
      </c>
      <c r="B106" s="8">
        <v>2926.46</v>
      </c>
    </row>
    <row r="107" spans="1:2" x14ac:dyDescent="0.3">
      <c r="A107" s="9">
        <v>43709</v>
      </c>
      <c r="B107" s="8">
        <v>2976.74</v>
      </c>
    </row>
    <row r="108" spans="1:2" x14ac:dyDescent="0.3">
      <c r="A108" s="9">
        <v>43739</v>
      </c>
      <c r="B108" s="8">
        <v>3037.56</v>
      </c>
    </row>
    <row r="109" spans="1:2" x14ac:dyDescent="0.3">
      <c r="A109" s="9">
        <v>43770</v>
      </c>
      <c r="B109" s="8">
        <v>3140.98</v>
      </c>
    </row>
    <row r="110" spans="1:2" x14ac:dyDescent="0.3">
      <c r="A110" s="9">
        <v>43800</v>
      </c>
      <c r="B110" s="8">
        <v>3230.78</v>
      </c>
    </row>
    <row r="111" spans="1:2" x14ac:dyDescent="0.3">
      <c r="A111" s="9">
        <v>43831</v>
      </c>
      <c r="B111" s="8">
        <v>3225.52</v>
      </c>
    </row>
    <row r="112" spans="1:2" x14ac:dyDescent="0.3">
      <c r="A112" s="9">
        <v>43862</v>
      </c>
      <c r="B112" s="8">
        <v>2954.22</v>
      </c>
    </row>
    <row r="113" spans="1:2" x14ac:dyDescent="0.3">
      <c r="A113" s="9">
        <v>43891</v>
      </c>
      <c r="B113" s="8">
        <v>2584.59</v>
      </c>
    </row>
    <row r="114" spans="1:2" x14ac:dyDescent="0.3">
      <c r="A114" s="9">
        <v>43922</v>
      </c>
      <c r="B114" s="8">
        <v>2912.43</v>
      </c>
    </row>
    <row r="115" spans="1:2" x14ac:dyDescent="0.3">
      <c r="A115" s="9">
        <v>43952</v>
      </c>
      <c r="B115" s="8">
        <v>3044.31</v>
      </c>
    </row>
    <row r="116" spans="1:2" x14ac:dyDescent="0.3">
      <c r="A116" s="9">
        <v>43983</v>
      </c>
      <c r="B116" s="8">
        <v>3100.29</v>
      </c>
    </row>
    <row r="117" spans="1:2" x14ac:dyDescent="0.3">
      <c r="A117" s="9">
        <v>44013</v>
      </c>
      <c r="B117" s="8">
        <v>3271.12</v>
      </c>
    </row>
    <row r="118" spans="1:2" x14ac:dyDescent="0.3">
      <c r="A118" s="9">
        <v>44044</v>
      </c>
      <c r="B118" s="8">
        <v>3500.31</v>
      </c>
    </row>
    <row r="119" spans="1:2" x14ac:dyDescent="0.3">
      <c r="A119" s="9">
        <v>44075</v>
      </c>
      <c r="B119" s="8">
        <v>3363</v>
      </c>
    </row>
    <row r="120" spans="1:2" x14ac:dyDescent="0.3">
      <c r="A120" s="9">
        <v>44105</v>
      </c>
      <c r="B120" s="8">
        <v>3269.96</v>
      </c>
    </row>
    <row r="121" spans="1:2" x14ac:dyDescent="0.3">
      <c r="A121" s="9">
        <v>44136</v>
      </c>
      <c r="B121" s="8">
        <v>3621.63</v>
      </c>
    </row>
    <row r="122" spans="1:2" x14ac:dyDescent="0.3">
      <c r="A122" s="9">
        <v>44166</v>
      </c>
      <c r="B122" s="8">
        <v>3756.07</v>
      </c>
    </row>
    <row r="123" spans="1:2" x14ac:dyDescent="0.3">
      <c r="A123" s="9">
        <v>44197</v>
      </c>
      <c r="B123" s="8">
        <v>3714.24</v>
      </c>
    </row>
    <row r="124" spans="1:2" x14ac:dyDescent="0.3">
      <c r="A124" s="9">
        <v>44228</v>
      </c>
      <c r="B124" s="8">
        <v>3811.15</v>
      </c>
    </row>
    <row r="125" spans="1:2" x14ac:dyDescent="0.3">
      <c r="A125" s="9">
        <v>44256</v>
      </c>
      <c r="B125" s="8">
        <v>3972.89</v>
      </c>
    </row>
    <row r="126" spans="1:2" x14ac:dyDescent="0.3">
      <c r="A126" s="9">
        <v>44287</v>
      </c>
      <c r="B126" s="8">
        <v>4181.17</v>
      </c>
    </row>
    <row r="127" spans="1:2" x14ac:dyDescent="0.3">
      <c r="A127" s="9">
        <v>44317</v>
      </c>
      <c r="B127" s="8">
        <v>4204.1099999999997</v>
      </c>
    </row>
    <row r="128" spans="1:2" x14ac:dyDescent="0.3">
      <c r="A128" s="9">
        <v>44348</v>
      </c>
      <c r="B128" s="8">
        <v>4297.5</v>
      </c>
    </row>
    <row r="129" spans="1:2" x14ac:dyDescent="0.3">
      <c r="A129" s="9">
        <v>44378</v>
      </c>
      <c r="B129" s="8">
        <v>4395.26</v>
      </c>
    </row>
    <row r="130" spans="1:2" x14ac:dyDescent="0.3">
      <c r="A130" s="9">
        <v>44409</v>
      </c>
      <c r="B130" s="8">
        <v>4522.68</v>
      </c>
    </row>
    <row r="131" spans="1:2" ht="15" thickBot="1" x14ac:dyDescent="0.35">
      <c r="A131" s="9">
        <v>44440</v>
      </c>
      <c r="B131" s="8">
        <v>4520.03</v>
      </c>
    </row>
    <row r="132" spans="1:2" x14ac:dyDescent="0.3">
      <c r="B132" s="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B79ED-D379-40FC-A706-112150334829}">
  <dimension ref="A1:F138"/>
  <sheetViews>
    <sheetView workbookViewId="0">
      <selection activeCell="N9" sqref="N9"/>
    </sheetView>
  </sheetViews>
  <sheetFormatPr baseColWidth="10" defaultColWidth="8.88671875" defaultRowHeight="14.4" x14ac:dyDescent="0.3"/>
  <cols>
    <col min="3" max="3" width="12" style="13" bestFit="1" customWidth="1"/>
    <col min="4" max="4" width="12" style="13" customWidth="1"/>
  </cols>
  <sheetData>
    <row r="1" spans="1:6" ht="15.6" x14ac:dyDescent="0.3">
      <c r="A1" s="5" t="s">
        <v>21</v>
      </c>
      <c r="B1" s="1" t="s">
        <v>32</v>
      </c>
      <c r="C1" s="6" t="s">
        <v>33</v>
      </c>
      <c r="D1" s="6"/>
      <c r="F1" s="11" t="s">
        <v>30</v>
      </c>
    </row>
    <row r="2" spans="1:6" x14ac:dyDescent="0.3">
      <c r="A2" s="4"/>
      <c r="F2" s="12" t="s">
        <v>31</v>
      </c>
    </row>
    <row r="3" spans="1:6" x14ac:dyDescent="0.3">
      <c r="A3" s="4">
        <v>40544</v>
      </c>
      <c r="B3">
        <v>0.14499999999999999</v>
      </c>
      <c r="C3" s="13">
        <v>1.2083333333333332E-5</v>
      </c>
    </row>
    <row r="4" spans="1:6" x14ac:dyDescent="0.3">
      <c r="A4" s="4">
        <v>40575</v>
      </c>
      <c r="B4">
        <v>0.13500000000000001</v>
      </c>
      <c r="C4" s="13">
        <v>1.1250000000000001E-5</v>
      </c>
    </row>
    <row r="5" spans="1:6" x14ac:dyDescent="0.3">
      <c r="A5" s="4">
        <v>40603</v>
      </c>
      <c r="B5">
        <v>0.09</v>
      </c>
      <c r="C5" s="13">
        <v>7.4999999999999993E-6</v>
      </c>
    </row>
    <row r="6" spans="1:6" x14ac:dyDescent="0.3">
      <c r="A6" s="4">
        <v>40634</v>
      </c>
      <c r="B6">
        <v>0.04</v>
      </c>
      <c r="C6" s="13">
        <v>3.3333333333333333E-6</v>
      </c>
    </row>
    <row r="7" spans="1:6" x14ac:dyDescent="0.3">
      <c r="A7" s="4">
        <v>40664</v>
      </c>
      <c r="B7">
        <v>0.04</v>
      </c>
      <c r="C7" s="13">
        <v>3.3333333333333333E-6</v>
      </c>
    </row>
    <row r="8" spans="1:6" x14ac:dyDescent="0.3">
      <c r="A8" s="4">
        <v>40695</v>
      </c>
      <c r="B8">
        <v>1.4999999999999999E-2</v>
      </c>
      <c r="C8" s="13">
        <v>1.2499999999999999E-6</v>
      </c>
    </row>
    <row r="9" spans="1:6" x14ac:dyDescent="0.3">
      <c r="A9" s="4">
        <v>40725</v>
      </c>
      <c r="B9">
        <v>0.09</v>
      </c>
      <c r="C9" s="13">
        <v>7.4999999999999993E-6</v>
      </c>
    </row>
    <row r="10" spans="1:6" x14ac:dyDescent="0.3">
      <c r="A10" s="4">
        <v>40756</v>
      </c>
      <c r="B10">
        <v>1.4999999999999999E-2</v>
      </c>
      <c r="C10" s="13">
        <v>1.2499999999999999E-6</v>
      </c>
    </row>
    <row r="11" spans="1:6" x14ac:dyDescent="0.3">
      <c r="A11" s="4">
        <v>40787</v>
      </c>
      <c r="B11">
        <v>0.01</v>
      </c>
      <c r="C11" s="13">
        <v>8.3333333333333333E-7</v>
      </c>
    </row>
    <row r="12" spans="1:6" x14ac:dyDescent="0.3">
      <c r="A12" s="4">
        <v>40817</v>
      </c>
      <c r="B12">
        <v>5.0000000000000001E-3</v>
      </c>
      <c r="C12" s="13">
        <v>4.1666666666666667E-7</v>
      </c>
    </row>
    <row r="13" spans="1:6" x14ac:dyDescent="0.3">
      <c r="A13" s="4">
        <v>40848</v>
      </c>
      <c r="B13">
        <v>1.4999999999999999E-2</v>
      </c>
      <c r="C13" s="13">
        <v>1.2499999999999999E-6</v>
      </c>
    </row>
    <row r="14" spans="1:6" x14ac:dyDescent="0.3">
      <c r="A14" s="4">
        <v>40878</v>
      </c>
      <c r="B14">
        <v>5.0000000000000001E-3</v>
      </c>
      <c r="C14" s="13">
        <v>4.1666666666666667E-7</v>
      </c>
    </row>
    <row r="15" spans="1:6" x14ac:dyDescent="0.3">
      <c r="A15" s="4">
        <v>40909</v>
      </c>
      <c r="B15">
        <v>5.5E-2</v>
      </c>
      <c r="C15" s="13">
        <v>4.5833333333333332E-6</v>
      </c>
    </row>
    <row r="16" spans="1:6" x14ac:dyDescent="0.3">
      <c r="A16" s="4">
        <v>40940</v>
      </c>
      <c r="B16">
        <v>7.4999999999999997E-2</v>
      </c>
      <c r="C16" s="13">
        <v>6.2499999999999995E-6</v>
      </c>
    </row>
    <row r="17" spans="1:3" x14ac:dyDescent="0.3">
      <c r="A17" s="4">
        <v>40969</v>
      </c>
      <c r="B17">
        <v>6.5000000000000002E-2</v>
      </c>
      <c r="C17" s="13">
        <v>5.4166666666666668E-6</v>
      </c>
    </row>
    <row r="18" spans="1:3" x14ac:dyDescent="0.3">
      <c r="A18" s="4">
        <v>41000</v>
      </c>
      <c r="B18">
        <v>0.09</v>
      </c>
      <c r="C18" s="13">
        <v>7.4999999999999993E-6</v>
      </c>
    </row>
    <row r="19" spans="1:3" x14ac:dyDescent="0.3">
      <c r="A19" s="4">
        <v>41030</v>
      </c>
      <c r="B19">
        <v>0.06</v>
      </c>
      <c r="C19" s="13">
        <v>4.9999999999999996E-6</v>
      </c>
    </row>
    <row r="20" spans="1:3" x14ac:dyDescent="0.3">
      <c r="A20" s="4">
        <v>41061</v>
      </c>
      <c r="B20">
        <v>0.08</v>
      </c>
      <c r="C20" s="13">
        <v>6.6666666666666666E-6</v>
      </c>
    </row>
    <row r="21" spans="1:3" x14ac:dyDescent="0.3">
      <c r="A21" s="4">
        <v>41091</v>
      </c>
      <c r="B21">
        <v>0.1</v>
      </c>
      <c r="C21" s="13">
        <v>8.3333333333333337E-6</v>
      </c>
    </row>
    <row r="22" spans="1:3" x14ac:dyDescent="0.3">
      <c r="A22" s="4">
        <v>41122</v>
      </c>
      <c r="B22">
        <v>8.5000000000000006E-2</v>
      </c>
      <c r="C22" s="13">
        <v>7.0833333333333338E-6</v>
      </c>
    </row>
    <row r="23" spans="1:3" x14ac:dyDescent="0.3">
      <c r="A23" s="4">
        <v>41153</v>
      </c>
      <c r="B23">
        <v>0.09</v>
      </c>
      <c r="C23" s="13">
        <v>7.4999999999999993E-6</v>
      </c>
    </row>
    <row r="24" spans="1:3" x14ac:dyDescent="0.3">
      <c r="A24" s="4">
        <v>41183</v>
      </c>
      <c r="B24">
        <v>0.105</v>
      </c>
      <c r="C24" s="13">
        <v>8.7499999999999992E-6</v>
      </c>
    </row>
    <row r="25" spans="1:3" x14ac:dyDescent="0.3">
      <c r="A25" s="4">
        <v>41214</v>
      </c>
      <c r="B25">
        <v>7.4999999999999997E-2</v>
      </c>
      <c r="C25" s="13">
        <v>6.2499999999999995E-6</v>
      </c>
    </row>
    <row r="26" spans="1:3" x14ac:dyDescent="0.3">
      <c r="A26" s="4">
        <v>41244</v>
      </c>
      <c r="B26">
        <v>3.5000000000000003E-2</v>
      </c>
      <c r="C26" s="13">
        <v>2.916666666666667E-6</v>
      </c>
    </row>
    <row r="27" spans="1:3" x14ac:dyDescent="0.3">
      <c r="A27" s="4">
        <v>41275</v>
      </c>
      <c r="B27">
        <v>6.5000000000000002E-2</v>
      </c>
      <c r="C27" s="13">
        <v>5.4166666666666668E-6</v>
      </c>
    </row>
    <row r="28" spans="1:3" x14ac:dyDescent="0.3">
      <c r="A28" s="4">
        <v>41306</v>
      </c>
      <c r="B28">
        <v>0.1</v>
      </c>
      <c r="C28" s="13">
        <v>8.3333333333333337E-6</v>
      </c>
    </row>
    <row r="29" spans="1:3" x14ac:dyDescent="0.3">
      <c r="A29" s="4">
        <v>41334</v>
      </c>
      <c r="B29">
        <v>6.5000000000000002E-2</v>
      </c>
      <c r="C29" s="13">
        <v>5.4166666666666668E-6</v>
      </c>
    </row>
    <row r="30" spans="1:3" x14ac:dyDescent="0.3">
      <c r="A30" s="4">
        <v>41365</v>
      </c>
      <c r="B30">
        <v>4.4999999999999998E-2</v>
      </c>
      <c r="C30" s="13">
        <v>3.7499999999999997E-6</v>
      </c>
    </row>
    <row r="31" spans="1:3" x14ac:dyDescent="0.3">
      <c r="A31" s="4">
        <v>41395</v>
      </c>
      <c r="B31">
        <v>0.03</v>
      </c>
      <c r="C31" s="13">
        <v>2.4999999999999998E-6</v>
      </c>
    </row>
    <row r="32" spans="1:3" x14ac:dyDescent="0.3">
      <c r="A32" s="4">
        <v>41426</v>
      </c>
      <c r="B32">
        <v>0.03</v>
      </c>
      <c r="C32" s="13">
        <v>2.4999999999999998E-6</v>
      </c>
    </row>
    <row r="33" spans="1:3" x14ac:dyDescent="0.3">
      <c r="A33" s="4">
        <v>41456</v>
      </c>
      <c r="B33">
        <v>0.03</v>
      </c>
      <c r="C33" s="13">
        <v>2.4999999999999998E-6</v>
      </c>
    </row>
    <row r="34" spans="1:3" x14ac:dyDescent="0.3">
      <c r="A34" s="4">
        <v>41487</v>
      </c>
      <c r="B34">
        <v>0.02</v>
      </c>
      <c r="C34" s="13">
        <v>1.6666666666666667E-6</v>
      </c>
    </row>
    <row r="35" spans="1:3" x14ac:dyDescent="0.3">
      <c r="A35" s="4">
        <v>41518</v>
      </c>
      <c r="B35">
        <v>5.0000000000000001E-3</v>
      </c>
      <c r="C35" s="13">
        <v>4.1666666666666667E-7</v>
      </c>
    </row>
    <row r="36" spans="1:3" x14ac:dyDescent="0.3">
      <c r="A36" s="4">
        <v>41548</v>
      </c>
      <c r="B36">
        <v>3.3000000000000002E-2</v>
      </c>
      <c r="C36" s="13">
        <v>2.7499999999999999E-6</v>
      </c>
    </row>
    <row r="37" spans="1:3" x14ac:dyDescent="0.3">
      <c r="A37" s="4">
        <v>41579</v>
      </c>
      <c r="B37">
        <v>5.5E-2</v>
      </c>
      <c r="C37" s="13">
        <v>4.5833333333333332E-6</v>
      </c>
    </row>
    <row r="38" spans="1:3" x14ac:dyDescent="0.3">
      <c r="A38" s="4">
        <v>41609</v>
      </c>
      <c r="B38">
        <v>6.3E-2</v>
      </c>
      <c r="C38" s="13">
        <v>5.2499999999999997E-6</v>
      </c>
    </row>
    <row r="39" spans="1:3" x14ac:dyDescent="0.3">
      <c r="A39" s="4">
        <v>41640</v>
      </c>
      <c r="B39">
        <v>0.01</v>
      </c>
      <c r="C39" s="13">
        <v>8.3333333333333333E-7</v>
      </c>
    </row>
    <row r="40" spans="1:3" x14ac:dyDescent="0.3">
      <c r="A40" s="4">
        <v>41671</v>
      </c>
      <c r="B40">
        <v>4.2999999999999997E-2</v>
      </c>
      <c r="C40" s="13">
        <v>3.583333333333333E-6</v>
      </c>
    </row>
    <row r="41" spans="1:3" x14ac:dyDescent="0.3">
      <c r="A41" s="4">
        <v>41699</v>
      </c>
      <c r="B41">
        <v>2.8000000000000001E-2</v>
      </c>
      <c r="C41" s="13">
        <v>2.3333333333333336E-6</v>
      </c>
    </row>
    <row r="42" spans="1:3" x14ac:dyDescent="0.3">
      <c r="A42" s="4">
        <v>41730</v>
      </c>
      <c r="B42">
        <v>0.02</v>
      </c>
      <c r="C42" s="13">
        <v>1.6666666666666667E-6</v>
      </c>
    </row>
    <row r="43" spans="1:3" x14ac:dyDescent="0.3">
      <c r="A43" s="4">
        <v>41760</v>
      </c>
      <c r="B43">
        <v>0.03</v>
      </c>
      <c r="C43" s="13">
        <v>2.4999999999999998E-6</v>
      </c>
    </row>
    <row r="44" spans="1:3" x14ac:dyDescent="0.3">
      <c r="A44" s="4">
        <v>41791</v>
      </c>
      <c r="B44">
        <v>0.02</v>
      </c>
      <c r="C44" s="13">
        <v>1.6666666666666667E-6</v>
      </c>
    </row>
    <row r="45" spans="1:3" x14ac:dyDescent="0.3">
      <c r="A45" s="4">
        <v>41821</v>
      </c>
      <c r="B45">
        <v>1.7999999999999999E-2</v>
      </c>
      <c r="C45" s="13">
        <v>1.4999999999999998E-6</v>
      </c>
    </row>
    <row r="46" spans="1:3" x14ac:dyDescent="0.3">
      <c r="A46" s="4">
        <v>41852</v>
      </c>
      <c r="B46">
        <v>1.7999999999999999E-2</v>
      </c>
      <c r="C46" s="13">
        <v>1.4999999999999998E-6</v>
      </c>
    </row>
    <row r="47" spans="1:3" x14ac:dyDescent="0.3">
      <c r="A47" s="4">
        <v>41883</v>
      </c>
      <c r="B47">
        <v>1.2999999999999999E-2</v>
      </c>
      <c r="C47" s="13">
        <v>1.0833333333333333E-6</v>
      </c>
    </row>
    <row r="48" spans="1:3" x14ac:dyDescent="0.3">
      <c r="A48" s="4">
        <v>41913</v>
      </c>
      <c r="B48">
        <v>3.0000000000000001E-3</v>
      </c>
      <c r="C48" s="13">
        <v>2.4999999999999999E-7</v>
      </c>
    </row>
    <row r="49" spans="1:3" x14ac:dyDescent="0.3">
      <c r="A49" s="4">
        <v>41944</v>
      </c>
      <c r="B49">
        <v>5.0000000000000001E-3</v>
      </c>
      <c r="C49" s="13">
        <v>4.1666666666666667E-7</v>
      </c>
    </row>
    <row r="50" spans="1:3" x14ac:dyDescent="0.3">
      <c r="A50" s="4">
        <v>41974</v>
      </c>
      <c r="B50">
        <v>3.6999999999999998E-2</v>
      </c>
      <c r="C50" s="13">
        <v>3.0833333333333332E-6</v>
      </c>
    </row>
    <row r="51" spans="1:3" x14ac:dyDescent="0.3">
      <c r="A51" s="4">
        <v>42005</v>
      </c>
      <c r="B51">
        <v>5.0000000000000001E-3</v>
      </c>
      <c r="C51" s="13">
        <v>4.1666666666666667E-7</v>
      </c>
    </row>
    <row r="52" spans="1:3" x14ac:dyDescent="0.3">
      <c r="A52" s="4">
        <v>42036</v>
      </c>
      <c r="B52">
        <v>8.0000000000000002E-3</v>
      </c>
      <c r="C52" s="13">
        <v>6.6666666666666671E-7</v>
      </c>
    </row>
    <row r="53" spans="1:3" x14ac:dyDescent="0.3">
      <c r="A53" s="4">
        <v>42064</v>
      </c>
      <c r="B53">
        <v>2.5000000000000001E-2</v>
      </c>
      <c r="C53" s="13">
        <v>2.0833333333333334E-6</v>
      </c>
    </row>
    <row r="54" spans="1:3" x14ac:dyDescent="0.3">
      <c r="A54" s="4">
        <v>42095</v>
      </c>
      <c r="B54">
        <v>5.0000000000000001E-3</v>
      </c>
      <c r="C54" s="13">
        <v>4.1666666666666667E-7</v>
      </c>
    </row>
    <row r="55" spans="1:3" x14ac:dyDescent="0.3">
      <c r="A55" s="4">
        <v>42125</v>
      </c>
      <c r="B55">
        <v>3.0000000000000001E-3</v>
      </c>
      <c r="C55" s="13">
        <v>2.4999999999999999E-7</v>
      </c>
    </row>
    <row r="56" spans="1:3" x14ac:dyDescent="0.3">
      <c r="A56" s="4">
        <v>42156</v>
      </c>
      <c r="B56">
        <v>0.01</v>
      </c>
      <c r="C56" s="13">
        <v>8.3333333333333333E-7</v>
      </c>
    </row>
    <row r="57" spans="1:3" x14ac:dyDescent="0.3">
      <c r="A57" s="4">
        <v>42186</v>
      </c>
      <c r="B57">
        <v>5.8000000000000003E-2</v>
      </c>
      <c r="C57" s="13">
        <v>4.8333333333333334E-6</v>
      </c>
    </row>
    <row r="58" spans="1:3" x14ac:dyDescent="0.3">
      <c r="A58" s="4">
        <v>42217</v>
      </c>
      <c r="B58">
        <v>3.0000000000000001E-3</v>
      </c>
      <c r="C58" s="13">
        <v>2.4999999999999999E-7</v>
      </c>
    </row>
    <row r="59" spans="1:3" x14ac:dyDescent="0.3">
      <c r="A59" s="4">
        <v>42248</v>
      </c>
      <c r="B59">
        <v>5.0000000000000001E-3</v>
      </c>
      <c r="C59" s="13">
        <v>4.1666666666666667E-7</v>
      </c>
    </row>
    <row r="60" spans="1:3" x14ac:dyDescent="0.3">
      <c r="A60" s="4">
        <v>42278</v>
      </c>
      <c r="B60">
        <v>6.8000000000000005E-2</v>
      </c>
      <c r="C60" s="13">
        <v>5.6666666666666669E-6</v>
      </c>
    </row>
    <row r="61" spans="1:3" x14ac:dyDescent="0.3">
      <c r="A61" s="4">
        <v>42309</v>
      </c>
      <c r="B61">
        <v>0.17</v>
      </c>
      <c r="C61" s="13">
        <v>1.4166666666666668E-5</v>
      </c>
    </row>
    <row r="62" spans="1:3" x14ac:dyDescent="0.3">
      <c r="A62" s="4">
        <v>42339</v>
      </c>
      <c r="B62">
        <v>0.14799999999999999</v>
      </c>
      <c r="C62" s="13">
        <v>1.2333333333333333E-5</v>
      </c>
    </row>
    <row r="63" spans="1:3" x14ac:dyDescent="0.3">
      <c r="A63" s="4">
        <v>42370</v>
      </c>
      <c r="B63">
        <v>0.3</v>
      </c>
      <c r="C63" s="13">
        <v>2.4999999999999998E-5</v>
      </c>
    </row>
    <row r="64" spans="1:3" x14ac:dyDescent="0.3">
      <c r="A64" s="4">
        <v>42401</v>
      </c>
      <c r="B64">
        <v>0.308</v>
      </c>
      <c r="C64" s="13">
        <v>2.5666666666666666E-5</v>
      </c>
    </row>
    <row r="65" spans="1:3" x14ac:dyDescent="0.3">
      <c r="A65" s="4">
        <v>42430</v>
      </c>
      <c r="B65">
        <v>0.193</v>
      </c>
      <c r="C65" s="13">
        <v>1.6083333333333332E-5</v>
      </c>
    </row>
    <row r="66" spans="1:3" x14ac:dyDescent="0.3">
      <c r="A66" s="4">
        <v>42461</v>
      </c>
      <c r="B66">
        <v>0.193</v>
      </c>
      <c r="C66" s="13">
        <v>1.6083333333333332E-5</v>
      </c>
    </row>
    <row r="67" spans="1:3" x14ac:dyDescent="0.3">
      <c r="A67" s="4">
        <v>42491</v>
      </c>
      <c r="B67">
        <v>0.28299999999999997</v>
      </c>
      <c r="C67" s="13">
        <v>2.3583333333333332E-5</v>
      </c>
    </row>
    <row r="68" spans="1:3" x14ac:dyDescent="0.3">
      <c r="A68" s="4">
        <v>42522</v>
      </c>
      <c r="B68">
        <v>0.248</v>
      </c>
      <c r="C68" s="13">
        <v>2.0666666666666666E-5</v>
      </c>
    </row>
    <row r="69" spans="1:3" x14ac:dyDescent="0.3">
      <c r="A69" s="4">
        <v>42552</v>
      </c>
      <c r="B69">
        <v>0.24</v>
      </c>
      <c r="C69" s="13">
        <v>1.9999999999999998E-5</v>
      </c>
    </row>
    <row r="70" spans="1:3" x14ac:dyDescent="0.3">
      <c r="A70" s="4">
        <v>42583</v>
      </c>
      <c r="B70">
        <v>0.32</v>
      </c>
      <c r="C70" s="13">
        <v>2.6666666666666667E-5</v>
      </c>
    </row>
    <row r="71" spans="1:3" x14ac:dyDescent="0.3">
      <c r="A71" s="4">
        <v>42614</v>
      </c>
      <c r="B71">
        <v>0.26</v>
      </c>
      <c r="C71" s="13">
        <v>2.1666666666666667E-5</v>
      </c>
    </row>
    <row r="72" spans="1:3" x14ac:dyDescent="0.3">
      <c r="A72" s="4">
        <v>42644</v>
      </c>
      <c r="B72">
        <v>0.29499999999999998</v>
      </c>
      <c r="C72" s="13">
        <v>2.4583333333333332E-5</v>
      </c>
    </row>
    <row r="73" spans="1:3" x14ac:dyDescent="0.3">
      <c r="A73" s="4">
        <v>42675</v>
      </c>
      <c r="B73">
        <v>0.46800000000000003</v>
      </c>
      <c r="C73" s="13">
        <v>3.8999999999999999E-5</v>
      </c>
    </row>
    <row r="74" spans="1:3" x14ac:dyDescent="0.3">
      <c r="A74" s="4">
        <v>42705</v>
      </c>
      <c r="B74">
        <v>0.48</v>
      </c>
      <c r="C74" s="13">
        <v>3.9999999999999996E-5</v>
      </c>
    </row>
    <row r="75" spans="1:3" x14ac:dyDescent="0.3">
      <c r="A75" s="4">
        <v>42736</v>
      </c>
      <c r="B75">
        <v>0.5</v>
      </c>
      <c r="C75" s="13">
        <v>4.1666666666666665E-5</v>
      </c>
    </row>
    <row r="76" spans="1:3" x14ac:dyDescent="0.3">
      <c r="A76" s="4">
        <v>42767</v>
      </c>
      <c r="B76">
        <v>0.52300000000000002</v>
      </c>
      <c r="C76" s="13">
        <v>4.3583333333333333E-5</v>
      </c>
    </row>
    <row r="77" spans="1:3" x14ac:dyDescent="0.3">
      <c r="A77" s="4">
        <v>42795</v>
      </c>
      <c r="B77">
        <v>0.73799999999999999</v>
      </c>
      <c r="C77" s="13">
        <v>6.1500000000000004E-5</v>
      </c>
    </row>
    <row r="78" spans="1:3" x14ac:dyDescent="0.3">
      <c r="A78" s="4">
        <v>42826</v>
      </c>
      <c r="B78">
        <v>0.78</v>
      </c>
      <c r="C78" s="13">
        <v>6.5000000000000008E-5</v>
      </c>
    </row>
    <row r="79" spans="1:3" x14ac:dyDescent="0.3">
      <c r="A79" s="4">
        <v>42856</v>
      </c>
      <c r="B79">
        <v>0.95</v>
      </c>
      <c r="C79" s="13">
        <v>7.9166666666666662E-5</v>
      </c>
    </row>
    <row r="80" spans="1:3" x14ac:dyDescent="0.3">
      <c r="A80" s="4">
        <v>42887</v>
      </c>
      <c r="B80">
        <v>0.99299999999999999</v>
      </c>
      <c r="C80" s="13">
        <v>8.2750000000000006E-5</v>
      </c>
    </row>
    <row r="81" spans="1:3" x14ac:dyDescent="0.3">
      <c r="A81" s="4">
        <v>42917</v>
      </c>
      <c r="B81">
        <v>1.0529999999999999</v>
      </c>
      <c r="C81" s="13">
        <v>8.7749999999999992E-5</v>
      </c>
    </row>
    <row r="82" spans="1:3" x14ac:dyDescent="0.3">
      <c r="A82" s="4">
        <v>42948</v>
      </c>
      <c r="B82">
        <v>0.97799999999999998</v>
      </c>
      <c r="C82" s="13">
        <v>8.1500000000000002E-5</v>
      </c>
    </row>
    <row r="83" spans="1:3" x14ac:dyDescent="0.3">
      <c r="A83" s="4">
        <v>42979</v>
      </c>
      <c r="B83">
        <v>1.028</v>
      </c>
      <c r="C83" s="13">
        <v>8.5666666666666671E-5</v>
      </c>
    </row>
    <row r="84" spans="1:3" x14ac:dyDescent="0.3">
      <c r="A84" s="4">
        <v>43009</v>
      </c>
      <c r="B84">
        <v>1.123</v>
      </c>
      <c r="C84" s="13">
        <v>9.3583333333333336E-5</v>
      </c>
    </row>
    <row r="85" spans="1:3" x14ac:dyDescent="0.3">
      <c r="A85" s="4">
        <v>43040</v>
      </c>
      <c r="B85">
        <v>1.238</v>
      </c>
      <c r="C85" s="13">
        <v>1.0316666666666666E-4</v>
      </c>
    </row>
    <row r="86" spans="1:3" x14ac:dyDescent="0.3">
      <c r="A86" s="4">
        <v>43070</v>
      </c>
      <c r="B86">
        <v>1.355</v>
      </c>
      <c r="C86" s="13">
        <v>1.1291666666666667E-4</v>
      </c>
    </row>
    <row r="87" spans="1:3" x14ac:dyDescent="0.3">
      <c r="A87" s="4">
        <v>43101</v>
      </c>
      <c r="B87">
        <v>1.43</v>
      </c>
      <c r="C87" s="13">
        <v>1.1916666666666666E-4</v>
      </c>
    </row>
    <row r="88" spans="1:3" x14ac:dyDescent="0.3">
      <c r="A88" s="4">
        <v>43132</v>
      </c>
      <c r="B88">
        <v>1.6180000000000001</v>
      </c>
      <c r="C88" s="13">
        <v>1.3483333333333335E-4</v>
      </c>
    </row>
    <row r="89" spans="1:3" x14ac:dyDescent="0.3">
      <c r="A89" s="4">
        <v>43160</v>
      </c>
      <c r="B89">
        <v>1.67</v>
      </c>
      <c r="C89" s="13">
        <v>1.3916666666666667E-4</v>
      </c>
    </row>
    <row r="90" spans="1:3" x14ac:dyDescent="0.3">
      <c r="A90" s="4">
        <v>43191</v>
      </c>
      <c r="B90">
        <v>1.7629999999999999</v>
      </c>
      <c r="C90" s="13">
        <v>1.4691666666666667E-4</v>
      </c>
    </row>
    <row r="91" spans="1:3" x14ac:dyDescent="0.3">
      <c r="A91" s="4">
        <v>43221</v>
      </c>
      <c r="B91">
        <v>1.87</v>
      </c>
      <c r="C91" s="13">
        <v>1.5583333333333334E-4</v>
      </c>
    </row>
    <row r="92" spans="1:3" x14ac:dyDescent="0.3">
      <c r="A92" s="4">
        <v>43252</v>
      </c>
      <c r="B92">
        <v>1.88</v>
      </c>
      <c r="C92" s="13">
        <v>1.5666666666666666E-4</v>
      </c>
    </row>
    <row r="93" spans="1:3" x14ac:dyDescent="0.3">
      <c r="A93" s="4">
        <v>43282</v>
      </c>
      <c r="B93">
        <v>1.9850000000000001</v>
      </c>
      <c r="C93" s="13">
        <v>1.6541666666666668E-4</v>
      </c>
    </row>
    <row r="94" spans="1:3" x14ac:dyDescent="0.3">
      <c r="A94" s="4">
        <v>43313</v>
      </c>
      <c r="B94">
        <v>2.0550000000000002</v>
      </c>
      <c r="C94" s="13">
        <v>1.7125000000000002E-4</v>
      </c>
    </row>
    <row r="95" spans="1:3" x14ac:dyDescent="0.3">
      <c r="A95" s="4">
        <v>43344</v>
      </c>
      <c r="B95">
        <v>2.15</v>
      </c>
      <c r="C95" s="13">
        <v>1.7916666666666667E-4</v>
      </c>
    </row>
    <row r="96" spans="1:3" x14ac:dyDescent="0.3">
      <c r="A96" s="4">
        <v>43374</v>
      </c>
      <c r="B96">
        <v>2.278</v>
      </c>
      <c r="C96" s="13">
        <v>1.8983333333333333E-4</v>
      </c>
    </row>
    <row r="97" spans="1:3" x14ac:dyDescent="0.3">
      <c r="A97" s="4">
        <v>43405</v>
      </c>
      <c r="B97">
        <v>2.3079999999999998</v>
      </c>
      <c r="C97" s="13">
        <v>1.9233333333333331E-4</v>
      </c>
    </row>
    <row r="98" spans="1:3" x14ac:dyDescent="0.3">
      <c r="A98" s="4">
        <v>43435</v>
      </c>
      <c r="B98">
        <v>2.2999999999999998</v>
      </c>
      <c r="C98" s="13">
        <v>1.9166666666666665E-4</v>
      </c>
    </row>
    <row r="99" spans="1:3" x14ac:dyDescent="0.3">
      <c r="A99" s="4">
        <v>43466</v>
      </c>
      <c r="B99">
        <v>2.34</v>
      </c>
      <c r="C99" s="13">
        <v>1.95E-4</v>
      </c>
    </row>
    <row r="100" spans="1:3" x14ac:dyDescent="0.3">
      <c r="A100" s="4">
        <v>43497</v>
      </c>
      <c r="B100">
        <v>2.383</v>
      </c>
      <c r="C100" s="13">
        <v>1.9858333333333333E-4</v>
      </c>
    </row>
    <row r="101" spans="1:3" x14ac:dyDescent="0.3">
      <c r="A101" s="4">
        <v>43525</v>
      </c>
      <c r="B101">
        <v>2.3279999999999998</v>
      </c>
      <c r="C101" s="13">
        <v>1.94E-4</v>
      </c>
    </row>
    <row r="102" spans="1:3" x14ac:dyDescent="0.3">
      <c r="A102" s="4">
        <v>43556</v>
      </c>
      <c r="B102">
        <v>2.3679999999999999</v>
      </c>
      <c r="C102" s="13">
        <v>1.9733333333333332E-4</v>
      </c>
    </row>
    <row r="103" spans="1:3" x14ac:dyDescent="0.3">
      <c r="A103" s="4">
        <v>43586</v>
      </c>
      <c r="B103">
        <v>2.2930000000000001</v>
      </c>
      <c r="C103" s="13">
        <v>1.9108333333333333E-4</v>
      </c>
    </row>
    <row r="104" spans="1:3" x14ac:dyDescent="0.3">
      <c r="A104" s="4">
        <v>43617</v>
      </c>
      <c r="B104">
        <v>2.0350000000000001</v>
      </c>
      <c r="C104" s="13">
        <v>1.6958333333333335E-4</v>
      </c>
    </row>
    <row r="105" spans="1:3" x14ac:dyDescent="0.3">
      <c r="A105" s="4">
        <v>43647</v>
      </c>
      <c r="B105">
        <v>2.0299999999999998</v>
      </c>
      <c r="C105" s="13">
        <v>1.6916666666666664E-4</v>
      </c>
    </row>
    <row r="106" spans="1:3" x14ac:dyDescent="0.3">
      <c r="A106" s="4">
        <v>43678</v>
      </c>
      <c r="B106">
        <v>1.9330000000000001</v>
      </c>
      <c r="C106" s="13">
        <v>1.6108333333333334E-4</v>
      </c>
    </row>
    <row r="107" spans="1:3" x14ac:dyDescent="0.3">
      <c r="A107" s="4">
        <v>43709</v>
      </c>
      <c r="B107">
        <v>1.77</v>
      </c>
      <c r="C107" s="13">
        <v>1.4750000000000001E-4</v>
      </c>
    </row>
    <row r="108" spans="1:3" x14ac:dyDescent="0.3">
      <c r="A108" s="4">
        <v>43739</v>
      </c>
      <c r="B108">
        <v>1.498</v>
      </c>
      <c r="C108" s="13">
        <v>1.2483333333333332E-4</v>
      </c>
    </row>
    <row r="109" spans="1:3" x14ac:dyDescent="0.3">
      <c r="A109" s="4">
        <v>43770</v>
      </c>
      <c r="B109">
        <v>1.54</v>
      </c>
      <c r="C109" s="13">
        <v>1.2833333333333333E-4</v>
      </c>
    </row>
    <row r="110" spans="1:3" x14ac:dyDescent="0.3">
      <c r="A110" s="4">
        <v>43800</v>
      </c>
      <c r="B110">
        <v>1.5049999999999999</v>
      </c>
      <c r="C110" s="13">
        <v>1.2541666666666666E-4</v>
      </c>
    </row>
    <row r="111" spans="1:3" x14ac:dyDescent="0.3">
      <c r="A111" s="4">
        <v>43831</v>
      </c>
      <c r="B111">
        <v>1.51</v>
      </c>
      <c r="C111" s="13">
        <v>1.2583333333333335E-4</v>
      </c>
    </row>
    <row r="112" spans="1:3" x14ac:dyDescent="0.3">
      <c r="A112" s="4">
        <v>43862</v>
      </c>
      <c r="B112">
        <v>1.23</v>
      </c>
      <c r="C112" s="13">
        <v>1.025E-4</v>
      </c>
    </row>
    <row r="113" spans="1:3" x14ac:dyDescent="0.3">
      <c r="A113" s="4">
        <v>43891</v>
      </c>
      <c r="B113">
        <v>0.03</v>
      </c>
      <c r="C113" s="13">
        <v>2.4999999999999998E-6</v>
      </c>
    </row>
    <row r="114" spans="1:3" x14ac:dyDescent="0.3">
      <c r="A114" s="4">
        <v>43922</v>
      </c>
      <c r="B114">
        <v>0.09</v>
      </c>
      <c r="C114" s="13">
        <v>7.4999999999999993E-6</v>
      </c>
    </row>
    <row r="115" spans="1:3" x14ac:dyDescent="0.3">
      <c r="A115" s="4">
        <v>43952</v>
      </c>
      <c r="B115">
        <v>0.128</v>
      </c>
      <c r="C115" s="13">
        <v>1.0666666666666667E-5</v>
      </c>
    </row>
    <row r="116" spans="1:3" x14ac:dyDescent="0.3">
      <c r="A116" s="4">
        <v>43983</v>
      </c>
      <c r="B116">
        <v>0.13500000000000001</v>
      </c>
      <c r="C116" s="13">
        <v>1.1250000000000001E-5</v>
      </c>
    </row>
    <row r="117" spans="1:3" x14ac:dyDescent="0.3">
      <c r="A117" s="4">
        <v>44013</v>
      </c>
      <c r="B117">
        <v>8.3000000000000004E-2</v>
      </c>
      <c r="C117" s="13">
        <v>6.9166666666666668E-6</v>
      </c>
    </row>
    <row r="118" spans="1:3" x14ac:dyDescent="0.3">
      <c r="A118" s="4">
        <v>44044</v>
      </c>
      <c r="B118">
        <v>9.5000000000000001E-2</v>
      </c>
      <c r="C118" s="13">
        <v>7.9166666666666665E-6</v>
      </c>
    </row>
    <row r="119" spans="1:3" x14ac:dyDescent="0.3">
      <c r="A119" s="4">
        <v>44075</v>
      </c>
      <c r="B119">
        <v>8.5000000000000006E-2</v>
      </c>
      <c r="C119" s="13">
        <v>7.0833333333333338E-6</v>
      </c>
    </row>
    <row r="120" spans="1:3" x14ac:dyDescent="0.3">
      <c r="A120" s="4">
        <v>44105</v>
      </c>
      <c r="B120">
        <v>8.3000000000000004E-2</v>
      </c>
      <c r="C120" s="13">
        <v>6.9166666666666668E-6</v>
      </c>
    </row>
    <row r="121" spans="1:3" x14ac:dyDescent="0.3">
      <c r="A121" s="4">
        <v>44136</v>
      </c>
      <c r="B121">
        <v>7.4999999999999997E-2</v>
      </c>
      <c r="C121" s="13">
        <v>6.2499999999999995E-6</v>
      </c>
    </row>
    <row r="122" spans="1:3" x14ac:dyDescent="0.3">
      <c r="A122" s="4">
        <v>44166</v>
      </c>
      <c r="B122">
        <v>6.5000000000000002E-2</v>
      </c>
      <c r="C122" s="13">
        <v>5.4166666666666668E-6</v>
      </c>
    </row>
    <row r="123" spans="1:3" x14ac:dyDescent="0.3">
      <c r="A123" s="4">
        <v>44197</v>
      </c>
      <c r="B123">
        <v>4.8000000000000001E-2</v>
      </c>
      <c r="C123" s="13">
        <v>3.9999999999999998E-6</v>
      </c>
    </row>
    <row r="124" spans="1:3" x14ac:dyDescent="0.3">
      <c r="A124" s="4">
        <v>44228</v>
      </c>
      <c r="B124">
        <v>3.5000000000000003E-2</v>
      </c>
      <c r="C124" s="13">
        <v>2.916666666666667E-6</v>
      </c>
    </row>
    <row r="125" spans="1:3" x14ac:dyDescent="0.3">
      <c r="A125" s="4">
        <v>44256</v>
      </c>
      <c r="B125">
        <v>1.2999999999999999E-2</v>
      </c>
      <c r="C125" s="13">
        <v>1.0833333333333333E-6</v>
      </c>
    </row>
    <row r="126" spans="1:3" x14ac:dyDescent="0.3">
      <c r="A126" s="4">
        <v>44287</v>
      </c>
      <c r="B126">
        <v>3.0000000000000001E-3</v>
      </c>
      <c r="C126" s="13">
        <v>2.4999999999999999E-7</v>
      </c>
    </row>
    <row r="127" spans="1:3" x14ac:dyDescent="0.3">
      <c r="A127" s="4">
        <v>44317</v>
      </c>
      <c r="B127">
        <v>8.0000000000000002E-3</v>
      </c>
      <c r="C127" s="13">
        <v>6.6666666666666671E-7</v>
      </c>
    </row>
    <row r="128" spans="1:3" x14ac:dyDescent="0.3">
      <c r="A128" s="4">
        <v>44348</v>
      </c>
      <c r="B128">
        <v>0.04</v>
      </c>
      <c r="C128" s="13">
        <v>3.3333333333333333E-6</v>
      </c>
    </row>
    <row r="129" spans="1:3" x14ac:dyDescent="0.3">
      <c r="A129" s="4">
        <v>44378</v>
      </c>
      <c r="B129">
        <v>0.04</v>
      </c>
      <c r="C129" s="13">
        <v>3.3333333333333333E-6</v>
      </c>
    </row>
    <row r="130" spans="1:3" x14ac:dyDescent="0.3">
      <c r="A130" s="4">
        <v>44409</v>
      </c>
      <c r="B130">
        <v>0.04</v>
      </c>
      <c r="C130" s="13">
        <v>3.3333333333333333E-6</v>
      </c>
    </row>
    <row r="131" spans="1:3" x14ac:dyDescent="0.3">
      <c r="A131" s="4">
        <v>44440</v>
      </c>
      <c r="B131">
        <v>2.8000000000000001E-2</v>
      </c>
      <c r="C131" s="13">
        <v>2.3333333333333336E-6</v>
      </c>
    </row>
    <row r="132" spans="1:3" x14ac:dyDescent="0.3">
      <c r="A132" s="4"/>
    </row>
    <row r="133" spans="1:3" x14ac:dyDescent="0.3">
      <c r="A133" s="4"/>
    </row>
    <row r="134" spans="1:3" x14ac:dyDescent="0.3">
      <c r="A134" s="4"/>
    </row>
    <row r="135" spans="1:3" x14ac:dyDescent="0.3">
      <c r="A135" s="4"/>
    </row>
    <row r="136" spans="1:3" x14ac:dyDescent="0.3">
      <c r="A136" s="4"/>
    </row>
    <row r="137" spans="1:3" x14ac:dyDescent="0.3">
      <c r="A137" s="4"/>
    </row>
    <row r="138" spans="1:3" x14ac:dyDescent="0.3">
      <c r="A138" s="4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8FCAD-408F-4FBF-8745-5D05D7AFE65C}">
  <dimension ref="A1:C131"/>
  <sheetViews>
    <sheetView workbookViewId="0">
      <selection activeCell="B4" sqref="B4"/>
    </sheetView>
  </sheetViews>
  <sheetFormatPr baseColWidth="10" defaultColWidth="8.88671875" defaultRowHeight="14.4" x14ac:dyDescent="0.3"/>
  <cols>
    <col min="1" max="1" width="10.44140625" customWidth="1"/>
  </cols>
  <sheetData>
    <row r="1" spans="1:3" ht="15.6" x14ac:dyDescent="0.3">
      <c r="A1" s="5" t="s">
        <v>21</v>
      </c>
      <c r="B1" s="1" t="s">
        <v>26</v>
      </c>
      <c r="C1" s="1" t="s">
        <v>27</v>
      </c>
    </row>
    <row r="2" spans="1:3" x14ac:dyDescent="0.3">
      <c r="A2" s="4"/>
    </row>
    <row r="3" spans="1:3" x14ac:dyDescent="0.3">
      <c r="A3" s="4">
        <v>40544</v>
      </c>
      <c r="B3">
        <v>-2.44</v>
      </c>
      <c r="C3">
        <v>0.77</v>
      </c>
    </row>
    <row r="4" spans="1:3" x14ac:dyDescent="0.3">
      <c r="A4" s="4">
        <v>40575</v>
      </c>
      <c r="B4">
        <v>1.47</v>
      </c>
      <c r="C4">
        <v>1.24</v>
      </c>
    </row>
    <row r="5" spans="1:3" x14ac:dyDescent="0.3">
      <c r="A5" s="4">
        <v>40603</v>
      </c>
      <c r="B5">
        <v>2.56</v>
      </c>
      <c r="C5">
        <v>-1.88</v>
      </c>
    </row>
    <row r="6" spans="1:3" x14ac:dyDescent="0.3">
      <c r="A6" s="4">
        <v>40634</v>
      </c>
      <c r="B6">
        <v>-0.32</v>
      </c>
      <c r="C6">
        <v>-2.48</v>
      </c>
    </row>
    <row r="7" spans="1:3" x14ac:dyDescent="0.3">
      <c r="A7" s="4">
        <v>40664</v>
      </c>
      <c r="B7">
        <v>-0.65</v>
      </c>
      <c r="C7">
        <v>-2</v>
      </c>
    </row>
    <row r="8" spans="1:3" x14ac:dyDescent="0.3">
      <c r="A8" s="4">
        <v>40695</v>
      </c>
      <c r="B8">
        <v>-0.14000000000000001</v>
      </c>
      <c r="C8">
        <v>-0.38</v>
      </c>
    </row>
    <row r="9" spans="1:3" x14ac:dyDescent="0.3">
      <c r="A9" s="4">
        <v>40725</v>
      </c>
      <c r="B9">
        <v>-1.29</v>
      </c>
      <c r="C9">
        <v>-0.91</v>
      </c>
    </row>
    <row r="10" spans="1:3" x14ac:dyDescent="0.3">
      <c r="A10" s="4">
        <v>40756</v>
      </c>
      <c r="B10">
        <v>-3.07</v>
      </c>
      <c r="C10">
        <v>-2.4</v>
      </c>
    </row>
    <row r="11" spans="1:3" x14ac:dyDescent="0.3">
      <c r="A11" s="4">
        <v>40787</v>
      </c>
      <c r="B11">
        <v>-3.33</v>
      </c>
      <c r="C11">
        <v>-1.75</v>
      </c>
    </row>
    <row r="12" spans="1:3" x14ac:dyDescent="0.3">
      <c r="A12" s="4">
        <v>40817</v>
      </c>
      <c r="B12">
        <v>3.3</v>
      </c>
      <c r="C12">
        <v>0.12</v>
      </c>
    </row>
    <row r="13" spans="1:3" x14ac:dyDescent="0.3">
      <c r="A13" s="4">
        <v>40848</v>
      </c>
      <c r="B13">
        <v>-0.17</v>
      </c>
      <c r="C13">
        <v>-0.46</v>
      </c>
    </row>
    <row r="14" spans="1:3" x14ac:dyDescent="0.3">
      <c r="A14" s="4">
        <v>40878</v>
      </c>
      <c r="B14">
        <v>-0.6</v>
      </c>
      <c r="C14">
        <v>1.61</v>
      </c>
    </row>
    <row r="15" spans="1:3" x14ac:dyDescent="0.3">
      <c r="A15" s="4">
        <v>40909</v>
      </c>
      <c r="B15">
        <v>2.06</v>
      </c>
      <c r="C15">
        <v>-0.94</v>
      </c>
    </row>
    <row r="16" spans="1:3" x14ac:dyDescent="0.3">
      <c r="A16" s="4">
        <v>40940</v>
      </c>
      <c r="B16">
        <v>-1.86</v>
      </c>
      <c r="C16">
        <v>0.43</v>
      </c>
    </row>
    <row r="17" spans="1:3" x14ac:dyDescent="0.3">
      <c r="A17" s="4">
        <v>40969</v>
      </c>
      <c r="B17">
        <v>-0.66</v>
      </c>
      <c r="C17">
        <v>1.1200000000000001</v>
      </c>
    </row>
    <row r="18" spans="1:3" x14ac:dyDescent="0.3">
      <c r="A18" s="4">
        <v>41000</v>
      </c>
      <c r="B18">
        <v>-0.41</v>
      </c>
      <c r="C18">
        <v>-0.77</v>
      </c>
    </row>
    <row r="19" spans="1:3" x14ac:dyDescent="0.3">
      <c r="A19" s="4">
        <v>41030</v>
      </c>
      <c r="B19">
        <v>0.09</v>
      </c>
      <c r="C19">
        <v>-1.06</v>
      </c>
    </row>
    <row r="20" spans="1:3" x14ac:dyDescent="0.3">
      <c r="A20" s="4">
        <v>41061</v>
      </c>
      <c r="B20">
        <v>0.64</v>
      </c>
      <c r="C20">
        <v>0.59</v>
      </c>
    </row>
    <row r="21" spans="1:3" x14ac:dyDescent="0.3">
      <c r="A21" s="4">
        <v>41091</v>
      </c>
      <c r="B21">
        <v>-2.72</v>
      </c>
      <c r="C21">
        <v>-0.12</v>
      </c>
    </row>
    <row r="22" spans="1:3" x14ac:dyDescent="0.3">
      <c r="A22" s="4">
        <v>41122</v>
      </c>
      <c r="B22">
        <v>0.48</v>
      </c>
      <c r="C22">
        <v>1.3</v>
      </c>
    </row>
    <row r="23" spans="1:3" x14ac:dyDescent="0.3">
      <c r="A23" s="4">
        <v>41153</v>
      </c>
      <c r="B23">
        <v>0.54</v>
      </c>
      <c r="C23">
        <v>1.58</v>
      </c>
    </row>
    <row r="24" spans="1:3" x14ac:dyDescent="0.3">
      <c r="A24" s="4">
        <v>41183</v>
      </c>
      <c r="B24">
        <v>-1.17</v>
      </c>
      <c r="C24">
        <v>3.56</v>
      </c>
    </row>
    <row r="25" spans="1:3" x14ac:dyDescent="0.3">
      <c r="A25" s="4">
        <v>41214</v>
      </c>
      <c r="B25">
        <v>0.61</v>
      </c>
      <c r="C25">
        <v>-0.83</v>
      </c>
    </row>
    <row r="26" spans="1:3" x14ac:dyDescent="0.3">
      <c r="A26" s="4">
        <v>41244</v>
      </c>
      <c r="B26">
        <v>1.52</v>
      </c>
      <c r="C26">
        <v>3.53</v>
      </c>
    </row>
    <row r="27" spans="1:3" x14ac:dyDescent="0.3">
      <c r="A27" s="4">
        <v>41275</v>
      </c>
      <c r="B27">
        <v>0.31</v>
      </c>
      <c r="C27">
        <v>0.95</v>
      </c>
    </row>
    <row r="28" spans="1:3" x14ac:dyDescent="0.3">
      <c r="A28" s="4">
        <v>41306</v>
      </c>
      <c r="B28">
        <v>-0.33</v>
      </c>
      <c r="C28">
        <v>0.1</v>
      </c>
    </row>
    <row r="29" spans="1:3" x14ac:dyDescent="0.3">
      <c r="A29" s="4">
        <v>41334</v>
      </c>
      <c r="B29">
        <v>0.83</v>
      </c>
      <c r="C29">
        <v>-0.23</v>
      </c>
    </row>
    <row r="30" spans="1:3" x14ac:dyDescent="0.3">
      <c r="A30" s="4">
        <v>41365</v>
      </c>
      <c r="B30">
        <v>-2.36</v>
      </c>
      <c r="C30">
        <v>0.5</v>
      </c>
    </row>
    <row r="31" spans="1:3" x14ac:dyDescent="0.3">
      <c r="A31" s="4">
        <v>41395</v>
      </c>
      <c r="B31">
        <v>1.72</v>
      </c>
      <c r="C31">
        <v>2.67</v>
      </c>
    </row>
    <row r="32" spans="1:3" x14ac:dyDescent="0.3">
      <c r="A32" s="4">
        <v>41426</v>
      </c>
      <c r="B32">
        <v>1.32</v>
      </c>
      <c r="C32">
        <v>0.05</v>
      </c>
    </row>
    <row r="33" spans="1:3" x14ac:dyDescent="0.3">
      <c r="A33" s="4">
        <v>41456</v>
      </c>
      <c r="B33">
        <v>1.87</v>
      </c>
      <c r="C33">
        <v>0.56999999999999995</v>
      </c>
    </row>
    <row r="34" spans="1:3" x14ac:dyDescent="0.3">
      <c r="A34" s="4">
        <v>41487</v>
      </c>
      <c r="B34">
        <v>0.26</v>
      </c>
      <c r="C34">
        <v>-2.68</v>
      </c>
    </row>
    <row r="35" spans="1:3" x14ac:dyDescent="0.3">
      <c r="A35" s="4">
        <v>41518</v>
      </c>
      <c r="B35">
        <v>2.9</v>
      </c>
      <c r="C35">
        <v>-1.23</v>
      </c>
    </row>
    <row r="36" spans="1:3" x14ac:dyDescent="0.3">
      <c r="A36" s="4">
        <v>41548</v>
      </c>
      <c r="B36">
        <v>-1.56</v>
      </c>
      <c r="C36">
        <v>1.26</v>
      </c>
    </row>
    <row r="37" spans="1:3" x14ac:dyDescent="0.3">
      <c r="A37" s="4">
        <v>41579</v>
      </c>
      <c r="B37">
        <v>1.29</v>
      </c>
      <c r="C37">
        <v>0.28000000000000003</v>
      </c>
    </row>
    <row r="38" spans="1:3" x14ac:dyDescent="0.3">
      <c r="A38" s="4">
        <v>41609</v>
      </c>
      <c r="B38">
        <v>-0.46</v>
      </c>
      <c r="C38">
        <v>-0.01</v>
      </c>
    </row>
    <row r="39" spans="1:3" x14ac:dyDescent="0.3">
      <c r="A39" s="4">
        <v>41640</v>
      </c>
      <c r="B39">
        <v>0.92</v>
      </c>
      <c r="C39">
        <v>-2.02</v>
      </c>
    </row>
    <row r="40" spans="1:3" x14ac:dyDescent="0.3">
      <c r="A40" s="4">
        <v>41671</v>
      </c>
      <c r="B40">
        <v>0.37</v>
      </c>
      <c r="C40">
        <v>-0.31</v>
      </c>
    </row>
    <row r="41" spans="1:3" x14ac:dyDescent="0.3">
      <c r="A41" s="4">
        <v>41699</v>
      </c>
      <c r="B41">
        <v>-1.87</v>
      </c>
      <c r="C41">
        <v>4.92</v>
      </c>
    </row>
    <row r="42" spans="1:3" x14ac:dyDescent="0.3">
      <c r="A42" s="4">
        <v>41730</v>
      </c>
      <c r="B42">
        <v>-4.2</v>
      </c>
      <c r="C42">
        <v>1.1399999999999999</v>
      </c>
    </row>
    <row r="43" spans="1:3" x14ac:dyDescent="0.3">
      <c r="A43" s="4">
        <v>41760</v>
      </c>
      <c r="B43">
        <v>-1.89</v>
      </c>
      <c r="C43">
        <v>-0.13</v>
      </c>
    </row>
    <row r="44" spans="1:3" x14ac:dyDescent="0.3">
      <c r="A44" s="4">
        <v>41791</v>
      </c>
      <c r="B44">
        <v>3.09</v>
      </c>
      <c r="C44">
        <v>-0.69</v>
      </c>
    </row>
    <row r="45" spans="1:3" x14ac:dyDescent="0.3">
      <c r="A45" s="4">
        <v>41821</v>
      </c>
      <c r="B45">
        <v>-4.28</v>
      </c>
      <c r="C45">
        <v>0.02</v>
      </c>
    </row>
    <row r="46" spans="1:3" x14ac:dyDescent="0.3">
      <c r="A46" s="4">
        <v>41852</v>
      </c>
      <c r="B46">
        <v>0.38</v>
      </c>
      <c r="C46">
        <v>-0.43</v>
      </c>
    </row>
    <row r="47" spans="1:3" x14ac:dyDescent="0.3">
      <c r="A47" s="4">
        <v>41883</v>
      </c>
      <c r="B47">
        <v>-3.72</v>
      </c>
      <c r="C47">
        <v>-1.35</v>
      </c>
    </row>
    <row r="48" spans="1:3" x14ac:dyDescent="0.3">
      <c r="A48" s="4">
        <v>41913</v>
      </c>
      <c r="B48">
        <v>4.22</v>
      </c>
      <c r="C48">
        <v>-1.83</v>
      </c>
    </row>
    <row r="49" spans="1:3" x14ac:dyDescent="0.3">
      <c r="A49" s="4">
        <v>41944</v>
      </c>
      <c r="B49">
        <v>-2.0499999999999998</v>
      </c>
      <c r="C49">
        <v>-3.09</v>
      </c>
    </row>
    <row r="50" spans="1:3" x14ac:dyDescent="0.3">
      <c r="A50" s="4">
        <v>41974</v>
      </c>
      <c r="B50">
        <v>2.4900000000000002</v>
      </c>
      <c r="C50">
        <v>2.27</v>
      </c>
    </row>
    <row r="51" spans="1:3" x14ac:dyDescent="0.3">
      <c r="A51" s="4">
        <v>42005</v>
      </c>
      <c r="B51">
        <v>-0.54</v>
      </c>
      <c r="C51">
        <v>-3.61</v>
      </c>
    </row>
    <row r="52" spans="1:3" x14ac:dyDescent="0.3">
      <c r="A52" s="4">
        <v>42036</v>
      </c>
      <c r="B52">
        <v>0.6</v>
      </c>
      <c r="C52">
        <v>-1.86</v>
      </c>
    </row>
    <row r="53" spans="1:3" x14ac:dyDescent="0.3">
      <c r="A53" s="4">
        <v>42064</v>
      </c>
      <c r="B53">
        <v>3.07</v>
      </c>
      <c r="C53">
        <v>-0.41</v>
      </c>
    </row>
    <row r="54" spans="1:3" x14ac:dyDescent="0.3">
      <c r="A54" s="4">
        <v>42095</v>
      </c>
      <c r="B54">
        <v>-3.04</v>
      </c>
      <c r="C54">
        <v>1.83</v>
      </c>
    </row>
    <row r="55" spans="1:3" x14ac:dyDescent="0.3">
      <c r="A55" s="4">
        <v>42125</v>
      </c>
      <c r="B55">
        <v>0.92</v>
      </c>
      <c r="C55">
        <v>-1.1200000000000001</v>
      </c>
    </row>
    <row r="56" spans="1:3" x14ac:dyDescent="0.3">
      <c r="A56" s="4">
        <v>42156</v>
      </c>
      <c r="B56">
        <v>2.9</v>
      </c>
      <c r="C56">
        <v>-0.78</v>
      </c>
    </row>
    <row r="57" spans="1:3" x14ac:dyDescent="0.3">
      <c r="A57" s="4">
        <v>42186</v>
      </c>
      <c r="B57">
        <v>-4.2</v>
      </c>
      <c r="C57">
        <v>-4.07</v>
      </c>
    </row>
    <row r="58" spans="1:3" x14ac:dyDescent="0.3">
      <c r="A58" s="4">
        <v>42217</v>
      </c>
      <c r="B58">
        <v>0.36</v>
      </c>
      <c r="C58">
        <v>2.8</v>
      </c>
    </row>
    <row r="59" spans="1:3" x14ac:dyDescent="0.3">
      <c r="A59" s="4">
        <v>42248</v>
      </c>
      <c r="B59">
        <v>-2.63</v>
      </c>
      <c r="C59">
        <v>0.57999999999999996</v>
      </c>
    </row>
    <row r="60" spans="1:3" x14ac:dyDescent="0.3">
      <c r="A60" s="4">
        <v>42278</v>
      </c>
      <c r="B60">
        <v>-1.87</v>
      </c>
      <c r="C60">
        <v>-0.45</v>
      </c>
    </row>
    <row r="61" spans="1:3" x14ac:dyDescent="0.3">
      <c r="A61" s="4">
        <v>42309</v>
      </c>
      <c r="B61">
        <v>3.6</v>
      </c>
      <c r="C61">
        <v>-0.38</v>
      </c>
    </row>
    <row r="62" spans="1:3" x14ac:dyDescent="0.3">
      <c r="A62" s="4">
        <v>42339</v>
      </c>
      <c r="B62">
        <v>-2.81</v>
      </c>
      <c r="C62">
        <v>-2.59</v>
      </c>
    </row>
    <row r="63" spans="1:3" x14ac:dyDescent="0.3">
      <c r="A63" s="4">
        <v>42370</v>
      </c>
      <c r="B63">
        <v>-3.39</v>
      </c>
      <c r="C63">
        <v>2.0699999999999998</v>
      </c>
    </row>
    <row r="64" spans="1:3" x14ac:dyDescent="0.3">
      <c r="A64" s="4">
        <v>42401</v>
      </c>
      <c r="B64">
        <v>0.81</v>
      </c>
      <c r="C64">
        <v>-0.56999999999999995</v>
      </c>
    </row>
    <row r="65" spans="1:3" x14ac:dyDescent="0.3">
      <c r="A65" s="4">
        <v>42430</v>
      </c>
      <c r="B65">
        <v>0.75</v>
      </c>
      <c r="C65">
        <v>1.1000000000000001</v>
      </c>
    </row>
    <row r="66" spans="1:3" x14ac:dyDescent="0.3">
      <c r="A66" s="4">
        <v>42461</v>
      </c>
      <c r="B66">
        <v>0.67</v>
      </c>
      <c r="C66">
        <v>3.21</v>
      </c>
    </row>
    <row r="67" spans="1:3" x14ac:dyDescent="0.3">
      <c r="A67" s="4">
        <v>42491</v>
      </c>
      <c r="B67">
        <v>-0.19</v>
      </c>
      <c r="C67">
        <v>-1.65</v>
      </c>
    </row>
    <row r="68" spans="1:3" x14ac:dyDescent="0.3">
      <c r="A68" s="4">
        <v>42522</v>
      </c>
      <c r="B68">
        <v>0.59</v>
      </c>
      <c r="C68">
        <v>-1.45</v>
      </c>
    </row>
    <row r="69" spans="1:3" x14ac:dyDescent="0.3">
      <c r="A69" s="4">
        <v>42552</v>
      </c>
      <c r="B69">
        <v>2.5099999999999998</v>
      </c>
      <c r="C69">
        <v>-1.29</v>
      </c>
    </row>
    <row r="70" spans="1:3" x14ac:dyDescent="0.3">
      <c r="A70" s="4">
        <v>42583</v>
      </c>
      <c r="B70">
        <v>1.17</v>
      </c>
      <c r="C70">
        <v>3.11</v>
      </c>
    </row>
    <row r="71" spans="1:3" x14ac:dyDescent="0.3">
      <c r="A71" s="4">
        <v>42614</v>
      </c>
      <c r="B71">
        <v>2.13</v>
      </c>
      <c r="C71">
        <v>-1.21</v>
      </c>
    </row>
    <row r="72" spans="1:3" x14ac:dyDescent="0.3">
      <c r="A72" s="4">
        <v>42644</v>
      </c>
      <c r="B72">
        <v>-4.41</v>
      </c>
      <c r="C72">
        <v>4.12</v>
      </c>
    </row>
    <row r="73" spans="1:3" x14ac:dyDescent="0.3">
      <c r="A73" s="4">
        <v>42675</v>
      </c>
      <c r="B73">
        <v>5.67</v>
      </c>
      <c r="C73">
        <v>8.2100000000000009</v>
      </c>
    </row>
    <row r="74" spans="1:3" x14ac:dyDescent="0.3">
      <c r="A74" s="4">
        <v>42705</v>
      </c>
      <c r="B74">
        <v>0.09</v>
      </c>
      <c r="C74">
        <v>3.6</v>
      </c>
    </row>
    <row r="75" spans="1:3" x14ac:dyDescent="0.3">
      <c r="A75" s="4">
        <v>42736</v>
      </c>
      <c r="B75">
        <v>-1.1299999999999999</v>
      </c>
      <c r="C75">
        <v>-2.74</v>
      </c>
    </row>
    <row r="76" spans="1:3" x14ac:dyDescent="0.3">
      <c r="A76" s="4">
        <v>42767</v>
      </c>
      <c r="B76">
        <v>-2.04</v>
      </c>
      <c r="C76">
        <v>-1.67</v>
      </c>
    </row>
    <row r="77" spans="1:3" x14ac:dyDescent="0.3">
      <c r="A77" s="4">
        <v>42795</v>
      </c>
      <c r="B77">
        <v>1.1299999999999999</v>
      </c>
      <c r="C77">
        <v>-3.33</v>
      </c>
    </row>
    <row r="78" spans="1:3" x14ac:dyDescent="0.3">
      <c r="A78" s="4">
        <v>42826</v>
      </c>
      <c r="B78">
        <v>0.72</v>
      </c>
      <c r="C78">
        <v>-2.13</v>
      </c>
    </row>
    <row r="79" spans="1:3" x14ac:dyDescent="0.3">
      <c r="A79" s="4">
        <v>42856</v>
      </c>
      <c r="B79">
        <v>-2.52</v>
      </c>
      <c r="C79">
        <v>-3.75</v>
      </c>
    </row>
    <row r="80" spans="1:3" x14ac:dyDescent="0.3">
      <c r="A80" s="4">
        <v>42887</v>
      </c>
      <c r="B80">
        <v>2.23</v>
      </c>
      <c r="C80">
        <v>1.49</v>
      </c>
    </row>
    <row r="81" spans="1:3" x14ac:dyDescent="0.3">
      <c r="A81" s="4">
        <v>42917</v>
      </c>
      <c r="B81">
        <v>-1.46</v>
      </c>
      <c r="C81">
        <v>-0.22</v>
      </c>
    </row>
    <row r="82" spans="1:3" x14ac:dyDescent="0.3">
      <c r="A82" s="4">
        <v>42948</v>
      </c>
      <c r="B82">
        <v>-1.65</v>
      </c>
      <c r="C82">
        <v>-2.0699999999999998</v>
      </c>
    </row>
    <row r="83" spans="1:3" x14ac:dyDescent="0.3">
      <c r="A83" s="4">
        <v>42979</v>
      </c>
      <c r="B83">
        <v>4.45</v>
      </c>
      <c r="C83">
        <v>3.09</v>
      </c>
    </row>
    <row r="84" spans="1:3" x14ac:dyDescent="0.3">
      <c r="A84" s="4">
        <v>43009</v>
      </c>
      <c r="B84">
        <v>-1.93</v>
      </c>
      <c r="C84">
        <v>0.22</v>
      </c>
    </row>
    <row r="85" spans="1:3" x14ac:dyDescent="0.3">
      <c r="A85" s="4">
        <v>43040</v>
      </c>
      <c r="B85">
        <v>-0.56000000000000005</v>
      </c>
      <c r="C85">
        <v>-0.05</v>
      </c>
    </row>
    <row r="86" spans="1:3" x14ac:dyDescent="0.3">
      <c r="A86" s="4">
        <v>43070</v>
      </c>
      <c r="B86">
        <v>-1.32</v>
      </c>
      <c r="C86">
        <v>0.03</v>
      </c>
    </row>
    <row r="87" spans="1:3" x14ac:dyDescent="0.3">
      <c r="A87" s="4">
        <v>43101</v>
      </c>
      <c r="B87">
        <v>-3.18</v>
      </c>
      <c r="C87">
        <v>-1.36</v>
      </c>
    </row>
    <row r="88" spans="1:3" x14ac:dyDescent="0.3">
      <c r="A88" s="4">
        <v>43132</v>
      </c>
      <c r="B88">
        <v>0.26</v>
      </c>
      <c r="C88">
        <v>-1.03</v>
      </c>
    </row>
    <row r="89" spans="1:3" x14ac:dyDescent="0.3">
      <c r="A89" s="4">
        <v>43160</v>
      </c>
      <c r="B89">
        <v>4.0599999999999996</v>
      </c>
      <c r="C89">
        <v>-0.23</v>
      </c>
    </row>
    <row r="90" spans="1:3" x14ac:dyDescent="0.3">
      <c r="A90" s="4">
        <v>43191</v>
      </c>
      <c r="B90">
        <v>1.1000000000000001</v>
      </c>
      <c r="C90">
        <v>0.48</v>
      </c>
    </row>
    <row r="91" spans="1:3" x14ac:dyDescent="0.3">
      <c r="A91" s="4">
        <v>43221</v>
      </c>
      <c r="B91">
        <v>5.31</v>
      </c>
      <c r="C91">
        <v>-3.13</v>
      </c>
    </row>
    <row r="92" spans="1:3" x14ac:dyDescent="0.3">
      <c r="A92" s="4">
        <v>43252</v>
      </c>
      <c r="B92">
        <v>1.1299999999999999</v>
      </c>
      <c r="C92">
        <v>-2.33</v>
      </c>
    </row>
    <row r="93" spans="1:3" x14ac:dyDescent="0.3">
      <c r="A93" s="4">
        <v>43282</v>
      </c>
      <c r="B93">
        <v>-2.25</v>
      </c>
      <c r="C93">
        <v>0.45</v>
      </c>
    </row>
    <row r="94" spans="1:3" x14ac:dyDescent="0.3">
      <c r="A94" s="4">
        <v>43313</v>
      </c>
      <c r="B94">
        <v>1.1399999999999999</v>
      </c>
      <c r="C94">
        <v>-3.98</v>
      </c>
    </row>
    <row r="95" spans="1:3" x14ac:dyDescent="0.3">
      <c r="A95" s="4">
        <v>43344</v>
      </c>
      <c r="B95">
        <v>-2.2999999999999998</v>
      </c>
      <c r="C95">
        <v>-1.7</v>
      </c>
    </row>
    <row r="96" spans="1:3" x14ac:dyDescent="0.3">
      <c r="A96" s="4">
        <v>43374</v>
      </c>
      <c r="B96">
        <v>-4.82</v>
      </c>
      <c r="C96">
        <v>3.43</v>
      </c>
    </row>
    <row r="97" spans="1:3" x14ac:dyDescent="0.3">
      <c r="A97" s="4">
        <v>43405</v>
      </c>
      <c r="B97">
        <v>-0.68</v>
      </c>
      <c r="C97">
        <v>0.26</v>
      </c>
    </row>
    <row r="98" spans="1:3" x14ac:dyDescent="0.3">
      <c r="A98" s="4">
        <v>43435</v>
      </c>
      <c r="B98">
        <v>-2.42</v>
      </c>
      <c r="C98">
        <v>-1.9</v>
      </c>
    </row>
    <row r="99" spans="1:3" x14ac:dyDescent="0.3">
      <c r="A99" s="4">
        <v>43466</v>
      </c>
      <c r="B99">
        <v>2.9</v>
      </c>
      <c r="C99">
        <v>-0.44</v>
      </c>
    </row>
    <row r="100" spans="1:3" x14ac:dyDescent="0.3">
      <c r="A100" s="4">
        <v>43497</v>
      </c>
      <c r="B100">
        <v>2.04</v>
      </c>
      <c r="C100">
        <v>-2.68</v>
      </c>
    </row>
    <row r="101" spans="1:3" x14ac:dyDescent="0.3">
      <c r="A101" s="4">
        <v>43525</v>
      </c>
      <c r="B101">
        <v>-2.98</v>
      </c>
      <c r="C101">
        <v>-4.05</v>
      </c>
    </row>
    <row r="102" spans="1:3" x14ac:dyDescent="0.3">
      <c r="A102" s="4">
        <v>43556</v>
      </c>
      <c r="B102">
        <v>-1.74</v>
      </c>
      <c r="C102">
        <v>2.17</v>
      </c>
    </row>
    <row r="103" spans="1:3" x14ac:dyDescent="0.3">
      <c r="A103" s="4">
        <v>43586</v>
      </c>
      <c r="B103">
        <v>-1.34</v>
      </c>
      <c r="C103">
        <v>-2.37</v>
      </c>
    </row>
    <row r="104" spans="1:3" x14ac:dyDescent="0.3">
      <c r="A104" s="4">
        <v>43617</v>
      </c>
      <c r="B104">
        <v>0.25</v>
      </c>
      <c r="C104">
        <v>-0.71</v>
      </c>
    </row>
    <row r="105" spans="1:3" x14ac:dyDescent="0.3">
      <c r="A105" s="4">
        <v>43647</v>
      </c>
      <c r="B105">
        <v>-1.94</v>
      </c>
      <c r="C105">
        <v>0.42</v>
      </c>
    </row>
    <row r="106" spans="1:3" x14ac:dyDescent="0.3">
      <c r="A106" s="4">
        <v>43678</v>
      </c>
      <c r="B106">
        <v>-2.3199999999999998</v>
      </c>
      <c r="C106">
        <v>-4.95</v>
      </c>
    </row>
    <row r="107" spans="1:3" x14ac:dyDescent="0.3">
      <c r="A107" s="4">
        <v>43709</v>
      </c>
      <c r="B107">
        <v>-0.97</v>
      </c>
      <c r="C107">
        <v>6.83</v>
      </c>
    </row>
    <row r="108" spans="1:3" x14ac:dyDescent="0.3">
      <c r="A108" s="4">
        <v>43739</v>
      </c>
      <c r="B108">
        <v>0.28000000000000003</v>
      </c>
      <c r="C108">
        <v>-1.93</v>
      </c>
    </row>
    <row r="109" spans="1:3" x14ac:dyDescent="0.3">
      <c r="A109" s="4">
        <v>43770</v>
      </c>
      <c r="B109">
        <v>0.8</v>
      </c>
      <c r="C109">
        <v>-2.02</v>
      </c>
    </row>
    <row r="110" spans="1:3" x14ac:dyDescent="0.3">
      <c r="A110" s="4">
        <v>43800</v>
      </c>
      <c r="B110">
        <v>0.72</v>
      </c>
      <c r="C110">
        <v>1.79</v>
      </c>
    </row>
    <row r="111" spans="1:3" x14ac:dyDescent="0.3">
      <c r="A111" s="4">
        <v>43831</v>
      </c>
      <c r="B111">
        <v>-3.13</v>
      </c>
      <c r="C111">
        <v>-6.24</v>
      </c>
    </row>
    <row r="112" spans="1:3" x14ac:dyDescent="0.3">
      <c r="A112" s="4">
        <v>43862</v>
      </c>
      <c r="B112">
        <v>1.03</v>
      </c>
      <c r="C112">
        <v>-3.79</v>
      </c>
    </row>
    <row r="113" spans="1:3" x14ac:dyDescent="0.3">
      <c r="A113" s="4">
        <v>43891</v>
      </c>
      <c r="B113">
        <v>-4.8899999999999997</v>
      </c>
      <c r="C113">
        <v>-14.02</v>
      </c>
    </row>
    <row r="114" spans="1:3" x14ac:dyDescent="0.3">
      <c r="A114" s="4">
        <v>43922</v>
      </c>
      <c r="B114">
        <v>2.4700000000000002</v>
      </c>
      <c r="C114">
        <v>-1.18</v>
      </c>
    </row>
    <row r="115" spans="1:3" x14ac:dyDescent="0.3">
      <c r="A115" s="4">
        <v>43952</v>
      </c>
      <c r="B115">
        <v>2.4500000000000002</v>
      </c>
      <c r="C115">
        <v>-4.8</v>
      </c>
    </row>
    <row r="116" spans="1:3" x14ac:dyDescent="0.3">
      <c r="A116" s="4">
        <v>43983</v>
      </c>
      <c r="B116">
        <v>2.69</v>
      </c>
      <c r="C116">
        <v>-2.04</v>
      </c>
    </row>
    <row r="117" spans="1:3" x14ac:dyDescent="0.3">
      <c r="A117" s="4">
        <v>44013</v>
      </c>
      <c r="B117">
        <v>-2.27</v>
      </c>
      <c r="C117">
        <v>-1.46</v>
      </c>
    </row>
    <row r="118" spans="1:3" x14ac:dyDescent="0.3">
      <c r="A118" s="4">
        <v>44044</v>
      </c>
      <c r="B118">
        <v>-0.22</v>
      </c>
      <c r="C118">
        <v>-2.93</v>
      </c>
    </row>
    <row r="119" spans="1:3" x14ac:dyDescent="0.3">
      <c r="A119" s="4">
        <v>44075</v>
      </c>
      <c r="B119">
        <v>-0.04</v>
      </c>
      <c r="C119">
        <v>-2.66</v>
      </c>
    </row>
    <row r="120" spans="1:3" x14ac:dyDescent="0.3">
      <c r="A120" s="4">
        <v>44105</v>
      </c>
      <c r="B120">
        <v>4.3899999999999997</v>
      </c>
      <c r="C120">
        <v>4.1900000000000004</v>
      </c>
    </row>
    <row r="121" spans="1:3" x14ac:dyDescent="0.3">
      <c r="A121" s="4">
        <v>44136</v>
      </c>
      <c r="B121">
        <v>5.74</v>
      </c>
      <c r="C121">
        <v>1.99</v>
      </c>
    </row>
    <row r="122" spans="1:3" x14ac:dyDescent="0.3">
      <c r="A122" s="4">
        <v>44166</v>
      </c>
      <c r="B122">
        <v>4.83</v>
      </c>
      <c r="C122">
        <v>-1.56</v>
      </c>
    </row>
    <row r="123" spans="1:3" x14ac:dyDescent="0.3">
      <c r="A123" s="4">
        <v>44197</v>
      </c>
      <c r="B123">
        <v>7.18</v>
      </c>
      <c r="C123">
        <v>2.94</v>
      </c>
    </row>
    <row r="124" spans="1:3" x14ac:dyDescent="0.3">
      <c r="A124" s="4">
        <v>44228</v>
      </c>
      <c r="B124">
        <v>1.97</v>
      </c>
      <c r="C124">
        <v>7.2</v>
      </c>
    </row>
    <row r="125" spans="1:3" x14ac:dyDescent="0.3">
      <c r="A125" s="4">
        <v>44256</v>
      </c>
      <c r="B125">
        <v>-2.37</v>
      </c>
      <c r="C125">
        <v>7.32</v>
      </c>
    </row>
    <row r="126" spans="1:3" x14ac:dyDescent="0.3">
      <c r="A126" s="4">
        <v>44287</v>
      </c>
      <c r="B126">
        <v>-3.13</v>
      </c>
      <c r="C126">
        <v>-0.99</v>
      </c>
    </row>
    <row r="127" spans="1:3" x14ac:dyDescent="0.3">
      <c r="A127" s="4">
        <v>44317</v>
      </c>
      <c r="B127">
        <v>-0.24</v>
      </c>
      <c r="C127">
        <v>7.03</v>
      </c>
    </row>
    <row r="128" spans="1:3" x14ac:dyDescent="0.3">
      <c r="A128" s="4">
        <v>44348</v>
      </c>
      <c r="B128">
        <v>1.75</v>
      </c>
      <c r="C128">
        <v>-7.81</v>
      </c>
    </row>
    <row r="129" spans="1:3" x14ac:dyDescent="0.3">
      <c r="A129" s="4">
        <v>44378</v>
      </c>
      <c r="B129">
        <v>-3.96</v>
      </c>
      <c r="C129">
        <v>-1.75</v>
      </c>
    </row>
    <row r="130" spans="1:3" x14ac:dyDescent="0.3">
      <c r="A130" s="4">
        <v>44409</v>
      </c>
      <c r="B130">
        <v>-0.48</v>
      </c>
      <c r="C130">
        <v>-0.13</v>
      </c>
    </row>
    <row r="131" spans="1:3" x14ac:dyDescent="0.3">
      <c r="A131" s="4">
        <v>44440</v>
      </c>
      <c r="B131">
        <v>0.8</v>
      </c>
      <c r="C131">
        <v>5.09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9666F-196C-4E2C-ABB5-DE1F9F718919}">
  <sheetPr codeName="Sheet6"/>
  <dimension ref="A1:D238"/>
  <sheetViews>
    <sheetView workbookViewId="0">
      <selection activeCell="B3" sqref="B3"/>
    </sheetView>
  </sheetViews>
  <sheetFormatPr baseColWidth="10" defaultColWidth="8.88671875" defaultRowHeight="14.4" x14ac:dyDescent="0.3"/>
  <sheetData>
    <row r="1" spans="1:4" x14ac:dyDescent="0.3">
      <c r="A1" t="s">
        <v>5</v>
      </c>
      <c r="B1" t="s">
        <v>6</v>
      </c>
      <c r="C1" t="s">
        <v>7</v>
      </c>
      <c r="D1" t="s">
        <v>8</v>
      </c>
    </row>
    <row r="2" spans="1:4" x14ac:dyDescent="0.3">
      <c r="A2" t="s">
        <v>9</v>
      </c>
      <c r="B2">
        <v>143</v>
      </c>
      <c r="C2">
        <v>56.3</v>
      </c>
      <c r="D2">
        <v>85</v>
      </c>
    </row>
    <row r="3" spans="1:4" x14ac:dyDescent="0.3">
      <c r="A3" t="s">
        <v>9</v>
      </c>
      <c r="B3">
        <v>191</v>
      </c>
      <c r="C3">
        <v>62.5</v>
      </c>
      <c r="D3">
        <v>112.5</v>
      </c>
    </row>
    <row r="4" spans="1:4" x14ac:dyDescent="0.3">
      <c r="A4" t="s">
        <v>9</v>
      </c>
      <c r="B4">
        <v>160</v>
      </c>
      <c r="C4">
        <v>62</v>
      </c>
      <c r="D4">
        <v>94.5</v>
      </c>
    </row>
    <row r="5" spans="1:4" x14ac:dyDescent="0.3">
      <c r="A5" t="s">
        <v>9</v>
      </c>
      <c r="B5">
        <v>157</v>
      </c>
      <c r="C5">
        <v>64.5</v>
      </c>
      <c r="D5">
        <v>123.5</v>
      </c>
    </row>
    <row r="6" spans="1:4" x14ac:dyDescent="0.3">
      <c r="A6" t="s">
        <v>9</v>
      </c>
      <c r="B6">
        <v>191</v>
      </c>
      <c r="C6">
        <v>65.3</v>
      </c>
      <c r="D6">
        <v>107</v>
      </c>
    </row>
    <row r="7" spans="1:4" x14ac:dyDescent="0.3">
      <c r="A7" t="s">
        <v>9</v>
      </c>
      <c r="B7">
        <v>141</v>
      </c>
      <c r="C7">
        <v>61.8</v>
      </c>
      <c r="D7">
        <v>85</v>
      </c>
    </row>
    <row r="8" spans="1:4" x14ac:dyDescent="0.3">
      <c r="A8" t="s">
        <v>9</v>
      </c>
      <c r="B8">
        <v>185</v>
      </c>
      <c r="C8">
        <v>63.3</v>
      </c>
      <c r="D8">
        <v>101</v>
      </c>
    </row>
    <row r="9" spans="1:4" x14ac:dyDescent="0.3">
      <c r="A9" t="s">
        <v>9</v>
      </c>
      <c r="B9">
        <v>210</v>
      </c>
      <c r="C9">
        <v>65.5</v>
      </c>
      <c r="D9">
        <v>140</v>
      </c>
    </row>
    <row r="10" spans="1:4" x14ac:dyDescent="0.3">
      <c r="A10" t="s">
        <v>9</v>
      </c>
      <c r="B10">
        <v>149</v>
      </c>
      <c r="C10">
        <v>64.3</v>
      </c>
      <c r="D10">
        <v>110.5</v>
      </c>
    </row>
    <row r="11" spans="1:4" x14ac:dyDescent="0.3">
      <c r="A11" t="s">
        <v>9</v>
      </c>
      <c r="B11">
        <v>169</v>
      </c>
      <c r="C11">
        <v>62.3</v>
      </c>
      <c r="D11">
        <v>99.5</v>
      </c>
    </row>
    <row r="12" spans="1:4" x14ac:dyDescent="0.3">
      <c r="A12" t="s">
        <v>9</v>
      </c>
      <c r="B12">
        <v>173</v>
      </c>
      <c r="C12">
        <v>62.8</v>
      </c>
      <c r="D12">
        <v>102.5</v>
      </c>
    </row>
    <row r="13" spans="1:4" x14ac:dyDescent="0.3">
      <c r="A13" t="s">
        <v>9</v>
      </c>
      <c r="B13">
        <v>150</v>
      </c>
      <c r="C13">
        <v>61.3</v>
      </c>
      <c r="D13">
        <v>94</v>
      </c>
    </row>
    <row r="14" spans="1:4" x14ac:dyDescent="0.3">
      <c r="A14" t="s">
        <v>9</v>
      </c>
      <c r="B14">
        <v>144</v>
      </c>
      <c r="C14">
        <v>59.5</v>
      </c>
      <c r="D14">
        <v>93.5</v>
      </c>
    </row>
    <row r="15" spans="1:4" x14ac:dyDescent="0.3">
      <c r="A15" t="s">
        <v>9</v>
      </c>
      <c r="B15">
        <v>146</v>
      </c>
      <c r="C15">
        <v>60</v>
      </c>
      <c r="D15">
        <v>109</v>
      </c>
    </row>
    <row r="16" spans="1:4" x14ac:dyDescent="0.3">
      <c r="A16" t="s">
        <v>9</v>
      </c>
      <c r="B16">
        <v>155</v>
      </c>
      <c r="C16">
        <v>61.3</v>
      </c>
      <c r="D16">
        <v>107</v>
      </c>
    </row>
    <row r="17" spans="1:4" x14ac:dyDescent="0.3">
      <c r="A17" t="s">
        <v>9</v>
      </c>
      <c r="B17">
        <v>183</v>
      </c>
      <c r="C17">
        <v>64.5</v>
      </c>
      <c r="D17">
        <v>102.5</v>
      </c>
    </row>
    <row r="18" spans="1:4" x14ac:dyDescent="0.3">
      <c r="A18" t="s">
        <v>9</v>
      </c>
      <c r="B18">
        <v>154</v>
      </c>
      <c r="C18">
        <v>60</v>
      </c>
      <c r="D18">
        <v>114</v>
      </c>
    </row>
    <row r="19" spans="1:4" x14ac:dyDescent="0.3">
      <c r="A19" t="s">
        <v>9</v>
      </c>
      <c r="B19">
        <v>152</v>
      </c>
      <c r="C19">
        <v>60.5</v>
      </c>
      <c r="D19">
        <v>105</v>
      </c>
    </row>
    <row r="20" spans="1:4" x14ac:dyDescent="0.3">
      <c r="A20" t="s">
        <v>9</v>
      </c>
      <c r="B20">
        <v>148</v>
      </c>
      <c r="C20">
        <v>60.5</v>
      </c>
      <c r="D20">
        <v>84.5</v>
      </c>
    </row>
    <row r="21" spans="1:4" x14ac:dyDescent="0.3">
      <c r="A21" t="s">
        <v>9</v>
      </c>
      <c r="B21">
        <v>164</v>
      </c>
      <c r="C21">
        <v>65.3</v>
      </c>
      <c r="D21">
        <v>98</v>
      </c>
    </row>
    <row r="22" spans="1:4" x14ac:dyDescent="0.3">
      <c r="A22" t="s">
        <v>9</v>
      </c>
      <c r="B22">
        <v>177</v>
      </c>
      <c r="C22">
        <v>61.3</v>
      </c>
      <c r="D22">
        <v>81</v>
      </c>
    </row>
    <row r="23" spans="1:4" x14ac:dyDescent="0.3">
      <c r="A23" t="s">
        <v>9</v>
      </c>
      <c r="B23">
        <v>183</v>
      </c>
      <c r="C23">
        <v>66.5</v>
      </c>
      <c r="D23">
        <v>112</v>
      </c>
    </row>
    <row r="24" spans="1:4" x14ac:dyDescent="0.3">
      <c r="A24" t="s">
        <v>9</v>
      </c>
      <c r="B24">
        <v>182</v>
      </c>
      <c r="C24">
        <v>65.5</v>
      </c>
      <c r="D24">
        <v>133</v>
      </c>
    </row>
    <row r="25" spans="1:4" x14ac:dyDescent="0.3">
      <c r="A25" t="s">
        <v>9</v>
      </c>
      <c r="B25">
        <v>165</v>
      </c>
      <c r="C25">
        <v>55.5</v>
      </c>
      <c r="D25">
        <v>67</v>
      </c>
    </row>
    <row r="26" spans="1:4" x14ac:dyDescent="0.3">
      <c r="A26" t="s">
        <v>9</v>
      </c>
      <c r="B26">
        <v>163</v>
      </c>
      <c r="C26">
        <v>56.5</v>
      </c>
      <c r="D26">
        <v>84</v>
      </c>
    </row>
    <row r="27" spans="1:4" x14ac:dyDescent="0.3">
      <c r="A27" t="s">
        <v>9</v>
      </c>
      <c r="B27">
        <v>171</v>
      </c>
      <c r="C27">
        <v>63</v>
      </c>
      <c r="D27">
        <v>84</v>
      </c>
    </row>
    <row r="28" spans="1:4" x14ac:dyDescent="0.3">
      <c r="A28" t="s">
        <v>9</v>
      </c>
      <c r="B28">
        <v>193</v>
      </c>
      <c r="C28">
        <v>59.8</v>
      </c>
      <c r="D28">
        <v>115</v>
      </c>
    </row>
    <row r="29" spans="1:4" x14ac:dyDescent="0.3">
      <c r="A29" t="s">
        <v>9</v>
      </c>
      <c r="B29">
        <v>169</v>
      </c>
      <c r="C29">
        <v>61.5</v>
      </c>
      <c r="D29">
        <v>85</v>
      </c>
    </row>
    <row r="30" spans="1:4" x14ac:dyDescent="0.3">
      <c r="A30" t="s">
        <v>9</v>
      </c>
      <c r="B30">
        <v>155</v>
      </c>
      <c r="C30">
        <v>62.3</v>
      </c>
      <c r="D30">
        <v>105</v>
      </c>
    </row>
    <row r="31" spans="1:4" x14ac:dyDescent="0.3">
      <c r="A31" t="s">
        <v>9</v>
      </c>
      <c r="B31">
        <v>171</v>
      </c>
      <c r="C31">
        <v>62.5</v>
      </c>
      <c r="D31">
        <v>112</v>
      </c>
    </row>
    <row r="32" spans="1:4" x14ac:dyDescent="0.3">
      <c r="A32" t="s">
        <v>9</v>
      </c>
      <c r="B32">
        <v>140</v>
      </c>
      <c r="C32">
        <v>53.8</v>
      </c>
      <c r="D32">
        <v>68.5</v>
      </c>
    </row>
    <row r="33" spans="1:4" x14ac:dyDescent="0.3">
      <c r="A33" t="s">
        <v>9</v>
      </c>
      <c r="B33">
        <v>149</v>
      </c>
      <c r="C33">
        <v>58.3</v>
      </c>
      <c r="D33">
        <v>93</v>
      </c>
    </row>
    <row r="34" spans="1:4" x14ac:dyDescent="0.3">
      <c r="A34" t="s">
        <v>9</v>
      </c>
      <c r="B34">
        <v>150</v>
      </c>
      <c r="C34">
        <v>59.5</v>
      </c>
      <c r="D34">
        <v>78.5</v>
      </c>
    </row>
    <row r="35" spans="1:4" x14ac:dyDescent="0.3">
      <c r="A35" t="s">
        <v>9</v>
      </c>
      <c r="B35">
        <v>140</v>
      </c>
      <c r="C35">
        <v>53.5</v>
      </c>
      <c r="D35">
        <v>81</v>
      </c>
    </row>
    <row r="36" spans="1:4" x14ac:dyDescent="0.3">
      <c r="A36" t="s">
        <v>9</v>
      </c>
      <c r="B36">
        <v>166</v>
      </c>
      <c r="C36">
        <v>61.5</v>
      </c>
      <c r="D36">
        <v>103.5</v>
      </c>
    </row>
    <row r="37" spans="1:4" x14ac:dyDescent="0.3">
      <c r="A37" t="s">
        <v>9</v>
      </c>
      <c r="B37">
        <v>146</v>
      </c>
      <c r="C37">
        <v>56.3</v>
      </c>
      <c r="D37">
        <v>83.5</v>
      </c>
    </row>
    <row r="38" spans="1:4" x14ac:dyDescent="0.3">
      <c r="A38" t="s">
        <v>9</v>
      </c>
      <c r="B38">
        <v>139</v>
      </c>
      <c r="C38">
        <v>57.5</v>
      </c>
      <c r="D38">
        <v>96</v>
      </c>
    </row>
    <row r="39" spans="1:4" x14ac:dyDescent="0.3">
      <c r="A39" t="s">
        <v>9</v>
      </c>
      <c r="B39">
        <v>177</v>
      </c>
      <c r="C39">
        <v>61.8</v>
      </c>
      <c r="D39">
        <v>142.5</v>
      </c>
    </row>
    <row r="40" spans="1:4" x14ac:dyDescent="0.3">
      <c r="A40" t="s">
        <v>9</v>
      </c>
      <c r="B40">
        <v>166</v>
      </c>
      <c r="C40">
        <v>59.3</v>
      </c>
      <c r="D40">
        <v>89.5</v>
      </c>
    </row>
    <row r="41" spans="1:4" x14ac:dyDescent="0.3">
      <c r="A41" t="s">
        <v>9</v>
      </c>
      <c r="B41">
        <v>184</v>
      </c>
      <c r="C41">
        <v>62.3</v>
      </c>
      <c r="D41">
        <v>108</v>
      </c>
    </row>
    <row r="42" spans="1:4" x14ac:dyDescent="0.3">
      <c r="A42" t="s">
        <v>9</v>
      </c>
      <c r="B42">
        <v>177</v>
      </c>
      <c r="C42">
        <v>61.3</v>
      </c>
      <c r="D42">
        <v>112</v>
      </c>
    </row>
    <row r="43" spans="1:4" x14ac:dyDescent="0.3">
      <c r="A43" t="s">
        <v>9</v>
      </c>
      <c r="B43">
        <v>145</v>
      </c>
      <c r="C43">
        <v>59</v>
      </c>
      <c r="D43">
        <v>91.5</v>
      </c>
    </row>
    <row r="44" spans="1:4" x14ac:dyDescent="0.3">
      <c r="A44" t="s">
        <v>9</v>
      </c>
      <c r="B44">
        <v>167</v>
      </c>
      <c r="C44">
        <v>62.3</v>
      </c>
      <c r="D44">
        <v>92.5</v>
      </c>
    </row>
    <row r="45" spans="1:4" x14ac:dyDescent="0.3">
      <c r="A45" t="s">
        <v>9</v>
      </c>
      <c r="B45">
        <v>185</v>
      </c>
      <c r="C45">
        <v>60</v>
      </c>
      <c r="D45">
        <v>106</v>
      </c>
    </row>
    <row r="46" spans="1:4" x14ac:dyDescent="0.3">
      <c r="A46" t="s">
        <v>9</v>
      </c>
      <c r="B46">
        <v>156</v>
      </c>
      <c r="C46">
        <v>54.5</v>
      </c>
      <c r="D46">
        <v>75</v>
      </c>
    </row>
    <row r="47" spans="1:4" x14ac:dyDescent="0.3">
      <c r="A47" t="s">
        <v>9</v>
      </c>
      <c r="B47">
        <v>191</v>
      </c>
      <c r="C47">
        <v>63.3</v>
      </c>
      <c r="D47">
        <v>113.5</v>
      </c>
    </row>
    <row r="48" spans="1:4" x14ac:dyDescent="0.3">
      <c r="A48" t="s">
        <v>9</v>
      </c>
      <c r="B48">
        <v>189</v>
      </c>
      <c r="C48">
        <v>64.3</v>
      </c>
      <c r="D48">
        <v>113.5</v>
      </c>
    </row>
    <row r="49" spans="1:4" x14ac:dyDescent="0.3">
      <c r="A49" t="s">
        <v>9</v>
      </c>
      <c r="B49">
        <v>157</v>
      </c>
      <c r="C49">
        <v>60.5</v>
      </c>
      <c r="D49">
        <v>112</v>
      </c>
    </row>
    <row r="50" spans="1:4" x14ac:dyDescent="0.3">
      <c r="A50" t="s">
        <v>9</v>
      </c>
      <c r="B50">
        <v>171</v>
      </c>
      <c r="C50">
        <v>61.5</v>
      </c>
      <c r="D50">
        <v>91</v>
      </c>
    </row>
    <row r="51" spans="1:4" x14ac:dyDescent="0.3">
      <c r="A51" t="s">
        <v>9</v>
      </c>
      <c r="B51">
        <v>143</v>
      </c>
      <c r="C51">
        <v>61.5</v>
      </c>
      <c r="D51">
        <v>116.5</v>
      </c>
    </row>
    <row r="52" spans="1:4" x14ac:dyDescent="0.3">
      <c r="A52" t="s">
        <v>9</v>
      </c>
      <c r="B52">
        <v>182</v>
      </c>
      <c r="C52">
        <v>62</v>
      </c>
      <c r="D52">
        <v>91.5</v>
      </c>
    </row>
    <row r="53" spans="1:4" x14ac:dyDescent="0.3">
      <c r="A53" t="s">
        <v>9</v>
      </c>
      <c r="B53">
        <v>154</v>
      </c>
      <c r="C53">
        <v>61</v>
      </c>
      <c r="D53">
        <v>122.5</v>
      </c>
    </row>
    <row r="54" spans="1:4" x14ac:dyDescent="0.3">
      <c r="A54" t="s">
        <v>9</v>
      </c>
      <c r="B54">
        <v>141</v>
      </c>
      <c r="C54">
        <v>56</v>
      </c>
      <c r="D54">
        <v>72.5</v>
      </c>
    </row>
    <row r="55" spans="1:4" x14ac:dyDescent="0.3">
      <c r="A55" t="s">
        <v>9</v>
      </c>
      <c r="B55">
        <v>167</v>
      </c>
      <c r="C55">
        <v>61</v>
      </c>
      <c r="D55">
        <v>93.5</v>
      </c>
    </row>
    <row r="56" spans="1:4" x14ac:dyDescent="0.3">
      <c r="A56" t="s">
        <v>9</v>
      </c>
      <c r="B56">
        <v>141</v>
      </c>
      <c r="C56">
        <v>61.3</v>
      </c>
      <c r="D56">
        <v>85</v>
      </c>
    </row>
    <row r="57" spans="1:4" x14ac:dyDescent="0.3">
      <c r="A57" t="s">
        <v>9</v>
      </c>
      <c r="B57">
        <v>175</v>
      </c>
      <c r="C57">
        <v>60.3</v>
      </c>
      <c r="D57">
        <v>86</v>
      </c>
    </row>
    <row r="58" spans="1:4" x14ac:dyDescent="0.3">
      <c r="A58" t="s">
        <v>9</v>
      </c>
      <c r="B58">
        <v>153</v>
      </c>
      <c r="C58">
        <v>63.3</v>
      </c>
      <c r="D58">
        <v>108</v>
      </c>
    </row>
    <row r="59" spans="1:4" x14ac:dyDescent="0.3">
      <c r="A59" t="s">
        <v>9</v>
      </c>
      <c r="B59">
        <v>185</v>
      </c>
      <c r="C59">
        <v>59</v>
      </c>
      <c r="D59">
        <v>104</v>
      </c>
    </row>
    <row r="60" spans="1:4" x14ac:dyDescent="0.3">
      <c r="A60" t="s">
        <v>9</v>
      </c>
      <c r="B60">
        <v>139</v>
      </c>
      <c r="C60">
        <v>61.5</v>
      </c>
      <c r="D60">
        <v>104</v>
      </c>
    </row>
    <row r="61" spans="1:4" x14ac:dyDescent="0.3">
      <c r="A61" t="s">
        <v>9</v>
      </c>
      <c r="B61">
        <v>143</v>
      </c>
      <c r="C61">
        <v>51.3</v>
      </c>
      <c r="D61">
        <v>50.5</v>
      </c>
    </row>
    <row r="62" spans="1:4" x14ac:dyDescent="0.3">
      <c r="A62" t="s">
        <v>9</v>
      </c>
      <c r="B62">
        <v>147</v>
      </c>
      <c r="C62">
        <v>61.3</v>
      </c>
      <c r="D62">
        <v>115</v>
      </c>
    </row>
    <row r="63" spans="1:4" x14ac:dyDescent="0.3">
      <c r="A63" t="s">
        <v>9</v>
      </c>
      <c r="B63">
        <v>164</v>
      </c>
      <c r="C63">
        <v>58</v>
      </c>
      <c r="D63">
        <v>83.5</v>
      </c>
    </row>
    <row r="64" spans="1:4" x14ac:dyDescent="0.3">
      <c r="A64" t="s">
        <v>9</v>
      </c>
      <c r="B64">
        <v>175</v>
      </c>
      <c r="C64">
        <v>60.8</v>
      </c>
      <c r="D64">
        <v>93.5</v>
      </c>
    </row>
    <row r="65" spans="1:4" x14ac:dyDescent="0.3">
      <c r="A65" t="s">
        <v>9</v>
      </c>
      <c r="B65">
        <v>170</v>
      </c>
      <c r="C65">
        <v>64.3</v>
      </c>
      <c r="D65">
        <v>90</v>
      </c>
    </row>
    <row r="66" spans="1:4" x14ac:dyDescent="0.3">
      <c r="A66" t="s">
        <v>9</v>
      </c>
      <c r="B66">
        <v>186</v>
      </c>
      <c r="C66">
        <v>57.8</v>
      </c>
      <c r="D66">
        <v>95</v>
      </c>
    </row>
    <row r="67" spans="1:4" x14ac:dyDescent="0.3">
      <c r="A67" t="s">
        <v>9</v>
      </c>
      <c r="B67">
        <v>185</v>
      </c>
      <c r="C67">
        <v>65.3</v>
      </c>
      <c r="D67">
        <v>118</v>
      </c>
    </row>
    <row r="68" spans="1:4" x14ac:dyDescent="0.3">
      <c r="A68" t="s">
        <v>9</v>
      </c>
      <c r="B68">
        <v>168</v>
      </c>
      <c r="C68">
        <v>61.5</v>
      </c>
      <c r="D68">
        <v>95</v>
      </c>
    </row>
    <row r="69" spans="1:4" x14ac:dyDescent="0.3">
      <c r="A69" t="s">
        <v>9</v>
      </c>
      <c r="B69">
        <v>139</v>
      </c>
      <c r="C69">
        <v>52.8</v>
      </c>
      <c r="D69">
        <v>63.5</v>
      </c>
    </row>
    <row r="70" spans="1:4" x14ac:dyDescent="0.3">
      <c r="A70" t="s">
        <v>9</v>
      </c>
      <c r="B70">
        <v>178</v>
      </c>
      <c r="C70">
        <v>63.5</v>
      </c>
      <c r="D70">
        <v>148.5</v>
      </c>
    </row>
    <row r="71" spans="1:4" x14ac:dyDescent="0.3">
      <c r="A71" t="s">
        <v>9</v>
      </c>
      <c r="B71">
        <v>147</v>
      </c>
      <c r="C71">
        <v>55.8</v>
      </c>
      <c r="D71">
        <v>75</v>
      </c>
    </row>
    <row r="72" spans="1:4" x14ac:dyDescent="0.3">
      <c r="A72" t="s">
        <v>9</v>
      </c>
      <c r="B72">
        <v>183</v>
      </c>
      <c r="C72">
        <v>64.3</v>
      </c>
      <c r="D72">
        <v>109.5</v>
      </c>
    </row>
    <row r="73" spans="1:4" x14ac:dyDescent="0.3">
      <c r="A73" t="s">
        <v>9</v>
      </c>
      <c r="B73">
        <v>148</v>
      </c>
      <c r="C73">
        <v>56.3</v>
      </c>
      <c r="D73">
        <v>77</v>
      </c>
    </row>
    <row r="74" spans="1:4" x14ac:dyDescent="0.3">
      <c r="A74" t="s">
        <v>9</v>
      </c>
      <c r="B74">
        <v>144</v>
      </c>
      <c r="C74">
        <v>55.8</v>
      </c>
      <c r="D74">
        <v>73.5</v>
      </c>
    </row>
    <row r="75" spans="1:4" x14ac:dyDescent="0.3">
      <c r="A75" t="s">
        <v>9</v>
      </c>
      <c r="B75">
        <v>190</v>
      </c>
      <c r="C75">
        <v>66.8</v>
      </c>
      <c r="D75">
        <v>140</v>
      </c>
    </row>
    <row r="76" spans="1:4" x14ac:dyDescent="0.3">
      <c r="A76" t="s">
        <v>9</v>
      </c>
      <c r="B76">
        <v>143</v>
      </c>
      <c r="C76">
        <v>58.3</v>
      </c>
      <c r="D76">
        <v>77.5</v>
      </c>
    </row>
    <row r="77" spans="1:4" x14ac:dyDescent="0.3">
      <c r="A77" t="s">
        <v>9</v>
      </c>
      <c r="B77">
        <v>147</v>
      </c>
      <c r="C77">
        <v>59.5</v>
      </c>
      <c r="D77">
        <v>101</v>
      </c>
    </row>
    <row r="78" spans="1:4" x14ac:dyDescent="0.3">
      <c r="A78" t="s">
        <v>9</v>
      </c>
      <c r="B78">
        <v>172</v>
      </c>
      <c r="C78">
        <v>64.8</v>
      </c>
      <c r="D78">
        <v>142</v>
      </c>
    </row>
    <row r="79" spans="1:4" x14ac:dyDescent="0.3">
      <c r="A79" t="s">
        <v>9</v>
      </c>
      <c r="B79">
        <v>179</v>
      </c>
      <c r="C79">
        <v>63</v>
      </c>
      <c r="D79">
        <v>98.5</v>
      </c>
    </row>
    <row r="80" spans="1:4" x14ac:dyDescent="0.3">
      <c r="A80" t="s">
        <v>9</v>
      </c>
      <c r="B80">
        <v>142</v>
      </c>
      <c r="C80">
        <v>56</v>
      </c>
      <c r="D80">
        <v>72.5</v>
      </c>
    </row>
    <row r="81" spans="1:4" x14ac:dyDescent="0.3">
      <c r="A81" t="s">
        <v>9</v>
      </c>
      <c r="B81">
        <v>150</v>
      </c>
      <c r="C81">
        <v>54.5</v>
      </c>
      <c r="D81">
        <v>74</v>
      </c>
    </row>
    <row r="82" spans="1:4" x14ac:dyDescent="0.3">
      <c r="A82" t="s">
        <v>9</v>
      </c>
      <c r="B82">
        <v>147</v>
      </c>
      <c r="C82">
        <v>51.5</v>
      </c>
      <c r="D82">
        <v>64</v>
      </c>
    </row>
    <row r="83" spans="1:4" x14ac:dyDescent="0.3">
      <c r="A83" t="s">
        <v>9</v>
      </c>
      <c r="B83">
        <v>182</v>
      </c>
      <c r="C83">
        <v>64</v>
      </c>
      <c r="D83">
        <v>111.5</v>
      </c>
    </row>
    <row r="84" spans="1:4" x14ac:dyDescent="0.3">
      <c r="A84" t="s">
        <v>9</v>
      </c>
      <c r="B84">
        <v>164</v>
      </c>
      <c r="C84">
        <v>63.3</v>
      </c>
      <c r="D84">
        <v>108</v>
      </c>
    </row>
    <row r="85" spans="1:4" x14ac:dyDescent="0.3">
      <c r="A85" t="s">
        <v>9</v>
      </c>
      <c r="B85">
        <v>180</v>
      </c>
      <c r="C85">
        <v>61.3</v>
      </c>
      <c r="D85">
        <v>110.5</v>
      </c>
    </row>
    <row r="86" spans="1:4" x14ac:dyDescent="0.3">
      <c r="A86" t="s">
        <v>9</v>
      </c>
      <c r="B86">
        <v>161</v>
      </c>
      <c r="C86">
        <v>59</v>
      </c>
      <c r="D86">
        <v>92</v>
      </c>
    </row>
    <row r="87" spans="1:4" x14ac:dyDescent="0.3">
      <c r="A87" t="s">
        <v>9</v>
      </c>
      <c r="B87">
        <v>142</v>
      </c>
      <c r="C87">
        <v>56.5</v>
      </c>
      <c r="D87">
        <v>69</v>
      </c>
    </row>
    <row r="88" spans="1:4" x14ac:dyDescent="0.3">
      <c r="A88" t="s">
        <v>9</v>
      </c>
      <c r="B88">
        <v>178</v>
      </c>
      <c r="C88">
        <v>61.5</v>
      </c>
      <c r="D88">
        <v>103.5</v>
      </c>
    </row>
    <row r="89" spans="1:4" x14ac:dyDescent="0.3">
      <c r="A89" t="s">
        <v>9</v>
      </c>
      <c r="B89">
        <v>145</v>
      </c>
      <c r="C89">
        <v>58.8</v>
      </c>
      <c r="D89">
        <v>89</v>
      </c>
    </row>
    <row r="90" spans="1:4" x14ac:dyDescent="0.3">
      <c r="A90" t="s">
        <v>9</v>
      </c>
      <c r="B90">
        <v>180</v>
      </c>
      <c r="C90">
        <v>63.3</v>
      </c>
      <c r="D90">
        <v>114</v>
      </c>
    </row>
    <row r="91" spans="1:4" x14ac:dyDescent="0.3">
      <c r="A91" t="s">
        <v>9</v>
      </c>
      <c r="B91">
        <v>176</v>
      </c>
      <c r="C91">
        <v>61.3</v>
      </c>
      <c r="D91">
        <v>112</v>
      </c>
    </row>
    <row r="92" spans="1:4" x14ac:dyDescent="0.3">
      <c r="A92" t="s">
        <v>9</v>
      </c>
      <c r="B92">
        <v>180</v>
      </c>
      <c r="C92">
        <v>59</v>
      </c>
      <c r="D92">
        <v>112</v>
      </c>
    </row>
    <row r="93" spans="1:4" x14ac:dyDescent="0.3">
      <c r="A93" t="s">
        <v>9</v>
      </c>
      <c r="B93">
        <v>162</v>
      </c>
      <c r="C93">
        <v>58</v>
      </c>
      <c r="D93">
        <v>84</v>
      </c>
    </row>
    <row r="94" spans="1:4" x14ac:dyDescent="0.3">
      <c r="A94" t="s">
        <v>9</v>
      </c>
      <c r="B94">
        <v>197</v>
      </c>
      <c r="C94">
        <v>61.5</v>
      </c>
      <c r="D94">
        <v>121</v>
      </c>
    </row>
    <row r="95" spans="1:4" x14ac:dyDescent="0.3">
      <c r="A95" t="s">
        <v>9</v>
      </c>
      <c r="B95">
        <v>182</v>
      </c>
      <c r="C95">
        <v>58.3</v>
      </c>
      <c r="D95">
        <v>104.5</v>
      </c>
    </row>
    <row r="96" spans="1:4" x14ac:dyDescent="0.3">
      <c r="A96" t="s">
        <v>9</v>
      </c>
      <c r="B96">
        <v>169</v>
      </c>
      <c r="C96">
        <v>62</v>
      </c>
      <c r="D96">
        <v>98.5</v>
      </c>
    </row>
    <row r="97" spans="1:4" x14ac:dyDescent="0.3">
      <c r="A97" t="s">
        <v>9</v>
      </c>
      <c r="B97">
        <v>147</v>
      </c>
      <c r="C97">
        <v>59.8</v>
      </c>
      <c r="D97">
        <v>84.5</v>
      </c>
    </row>
    <row r="98" spans="1:4" x14ac:dyDescent="0.3">
      <c r="A98" t="s">
        <v>9</v>
      </c>
      <c r="B98">
        <v>197</v>
      </c>
      <c r="C98">
        <v>64.8</v>
      </c>
      <c r="D98">
        <v>112</v>
      </c>
    </row>
    <row r="99" spans="1:4" x14ac:dyDescent="0.3">
      <c r="A99" t="s">
        <v>9</v>
      </c>
      <c r="B99">
        <v>145</v>
      </c>
      <c r="C99">
        <v>57.8</v>
      </c>
      <c r="D99">
        <v>84</v>
      </c>
    </row>
    <row r="100" spans="1:4" x14ac:dyDescent="0.3">
      <c r="A100" t="s">
        <v>9</v>
      </c>
      <c r="B100">
        <v>143</v>
      </c>
      <c r="C100">
        <v>55.5</v>
      </c>
      <c r="D100">
        <v>84</v>
      </c>
    </row>
    <row r="101" spans="1:4" x14ac:dyDescent="0.3">
      <c r="A101" t="s">
        <v>9</v>
      </c>
      <c r="B101">
        <v>147</v>
      </c>
      <c r="C101">
        <v>58.3</v>
      </c>
      <c r="D101">
        <v>111.5</v>
      </c>
    </row>
    <row r="102" spans="1:4" x14ac:dyDescent="0.3">
      <c r="A102" t="s">
        <v>9</v>
      </c>
      <c r="B102">
        <v>154</v>
      </c>
      <c r="C102">
        <v>62.8</v>
      </c>
      <c r="D102">
        <v>93.5</v>
      </c>
    </row>
    <row r="103" spans="1:4" x14ac:dyDescent="0.3">
      <c r="A103" t="s">
        <v>9</v>
      </c>
      <c r="B103">
        <v>140</v>
      </c>
      <c r="C103">
        <v>60</v>
      </c>
      <c r="D103">
        <v>77</v>
      </c>
    </row>
    <row r="104" spans="1:4" x14ac:dyDescent="0.3">
      <c r="A104" t="s">
        <v>9</v>
      </c>
      <c r="B104">
        <v>178</v>
      </c>
      <c r="C104">
        <v>66.5</v>
      </c>
      <c r="D104">
        <v>117.5</v>
      </c>
    </row>
    <row r="105" spans="1:4" x14ac:dyDescent="0.3">
      <c r="A105" t="s">
        <v>9</v>
      </c>
      <c r="B105">
        <v>148</v>
      </c>
      <c r="C105">
        <v>59</v>
      </c>
      <c r="D105">
        <v>95</v>
      </c>
    </row>
    <row r="106" spans="1:4" x14ac:dyDescent="0.3">
      <c r="A106" t="s">
        <v>9</v>
      </c>
      <c r="B106">
        <v>190</v>
      </c>
      <c r="C106">
        <v>56.8</v>
      </c>
      <c r="D106">
        <v>98.5</v>
      </c>
    </row>
    <row r="107" spans="1:4" x14ac:dyDescent="0.3">
      <c r="A107" t="s">
        <v>9</v>
      </c>
      <c r="B107">
        <v>186</v>
      </c>
      <c r="C107">
        <v>57</v>
      </c>
      <c r="D107">
        <v>83.5</v>
      </c>
    </row>
    <row r="108" spans="1:4" x14ac:dyDescent="0.3">
      <c r="A108" t="s">
        <v>9</v>
      </c>
      <c r="B108">
        <v>165</v>
      </c>
      <c r="C108">
        <v>61.3</v>
      </c>
      <c r="D108">
        <v>106.5</v>
      </c>
    </row>
    <row r="109" spans="1:4" x14ac:dyDescent="0.3">
      <c r="A109" t="s">
        <v>9</v>
      </c>
      <c r="B109">
        <v>155</v>
      </c>
      <c r="C109">
        <v>66</v>
      </c>
      <c r="D109">
        <v>144.5</v>
      </c>
    </row>
    <row r="110" spans="1:4" x14ac:dyDescent="0.3">
      <c r="A110" t="s">
        <v>9</v>
      </c>
      <c r="B110">
        <v>210</v>
      </c>
      <c r="C110">
        <v>62</v>
      </c>
      <c r="D110">
        <v>116</v>
      </c>
    </row>
    <row r="111" spans="1:4" x14ac:dyDescent="0.3">
      <c r="A111" t="s">
        <v>9</v>
      </c>
      <c r="B111">
        <v>144</v>
      </c>
      <c r="C111">
        <v>61</v>
      </c>
      <c r="D111">
        <v>92</v>
      </c>
    </row>
    <row r="112" spans="1:4" x14ac:dyDescent="0.3">
      <c r="A112" t="s">
        <v>9</v>
      </c>
      <c r="B112">
        <v>186</v>
      </c>
      <c r="C112">
        <v>63.5</v>
      </c>
      <c r="D112">
        <v>108</v>
      </c>
    </row>
    <row r="113" spans="1:4" x14ac:dyDescent="0.3">
      <c r="A113" t="s">
        <v>10</v>
      </c>
      <c r="B113">
        <v>157</v>
      </c>
      <c r="C113">
        <v>60.5</v>
      </c>
      <c r="D113">
        <v>105</v>
      </c>
    </row>
    <row r="114" spans="1:4" x14ac:dyDescent="0.3">
      <c r="A114" t="s">
        <v>10</v>
      </c>
      <c r="B114">
        <v>139</v>
      </c>
      <c r="C114">
        <v>60.5</v>
      </c>
      <c r="D114">
        <v>87</v>
      </c>
    </row>
    <row r="115" spans="1:4" x14ac:dyDescent="0.3">
      <c r="A115" t="s">
        <v>10</v>
      </c>
      <c r="B115">
        <v>146</v>
      </c>
      <c r="C115">
        <v>57.5</v>
      </c>
      <c r="D115">
        <v>90</v>
      </c>
    </row>
    <row r="116" spans="1:4" x14ac:dyDescent="0.3">
      <c r="A116" t="s">
        <v>10</v>
      </c>
      <c r="B116">
        <v>151</v>
      </c>
      <c r="C116">
        <v>66.3</v>
      </c>
      <c r="D116">
        <v>117</v>
      </c>
    </row>
    <row r="117" spans="1:4" x14ac:dyDescent="0.3">
      <c r="A117" t="s">
        <v>10</v>
      </c>
      <c r="B117">
        <v>153</v>
      </c>
      <c r="C117">
        <v>60</v>
      </c>
      <c r="D117">
        <v>84</v>
      </c>
    </row>
    <row r="118" spans="1:4" x14ac:dyDescent="0.3">
      <c r="A118" t="s">
        <v>10</v>
      </c>
      <c r="B118">
        <v>176</v>
      </c>
      <c r="C118">
        <v>65</v>
      </c>
      <c r="D118">
        <v>118.5</v>
      </c>
    </row>
    <row r="119" spans="1:4" x14ac:dyDescent="0.3">
      <c r="A119" t="s">
        <v>10</v>
      </c>
      <c r="B119">
        <v>146</v>
      </c>
      <c r="C119">
        <v>57.3</v>
      </c>
      <c r="D119">
        <v>83</v>
      </c>
    </row>
    <row r="120" spans="1:4" x14ac:dyDescent="0.3">
      <c r="A120" t="s">
        <v>10</v>
      </c>
      <c r="B120">
        <v>151</v>
      </c>
      <c r="C120">
        <v>61</v>
      </c>
      <c r="D120">
        <v>81</v>
      </c>
    </row>
    <row r="121" spans="1:4" x14ac:dyDescent="0.3">
      <c r="A121" t="s">
        <v>10</v>
      </c>
      <c r="B121">
        <v>193</v>
      </c>
      <c r="C121">
        <v>66.3</v>
      </c>
      <c r="D121">
        <v>133</v>
      </c>
    </row>
    <row r="122" spans="1:4" x14ac:dyDescent="0.3">
      <c r="A122" t="s">
        <v>10</v>
      </c>
      <c r="B122">
        <v>143</v>
      </c>
      <c r="C122">
        <v>57.5</v>
      </c>
      <c r="D122">
        <v>75</v>
      </c>
    </row>
    <row r="123" spans="1:4" x14ac:dyDescent="0.3">
      <c r="A123" t="s">
        <v>10</v>
      </c>
      <c r="B123">
        <v>173</v>
      </c>
      <c r="C123">
        <v>69</v>
      </c>
      <c r="D123">
        <v>112.5</v>
      </c>
    </row>
    <row r="124" spans="1:4" x14ac:dyDescent="0.3">
      <c r="A124" t="s">
        <v>10</v>
      </c>
      <c r="B124">
        <v>144</v>
      </c>
      <c r="C124">
        <v>59.5</v>
      </c>
      <c r="D124">
        <v>88</v>
      </c>
    </row>
    <row r="125" spans="1:4" x14ac:dyDescent="0.3">
      <c r="A125" t="s">
        <v>10</v>
      </c>
      <c r="B125">
        <v>147</v>
      </c>
      <c r="C125">
        <v>57</v>
      </c>
      <c r="D125">
        <v>84</v>
      </c>
    </row>
    <row r="126" spans="1:4" x14ac:dyDescent="0.3">
      <c r="A126" t="s">
        <v>10</v>
      </c>
      <c r="B126">
        <v>150</v>
      </c>
      <c r="C126">
        <v>59.5</v>
      </c>
      <c r="D126">
        <v>84</v>
      </c>
    </row>
    <row r="127" spans="1:4" x14ac:dyDescent="0.3">
      <c r="A127" t="s">
        <v>10</v>
      </c>
      <c r="B127">
        <v>140</v>
      </c>
      <c r="C127">
        <v>58.5</v>
      </c>
      <c r="D127">
        <v>86.5</v>
      </c>
    </row>
    <row r="128" spans="1:4" x14ac:dyDescent="0.3">
      <c r="A128" t="s">
        <v>10</v>
      </c>
      <c r="B128">
        <v>184</v>
      </c>
      <c r="C128">
        <v>66.5</v>
      </c>
      <c r="D128">
        <v>112</v>
      </c>
    </row>
    <row r="129" spans="1:4" x14ac:dyDescent="0.3">
      <c r="A129" t="s">
        <v>10</v>
      </c>
      <c r="B129">
        <v>168</v>
      </c>
      <c r="C129">
        <v>66.5</v>
      </c>
      <c r="D129">
        <v>111.5</v>
      </c>
    </row>
    <row r="130" spans="1:4" x14ac:dyDescent="0.3">
      <c r="A130" t="s">
        <v>10</v>
      </c>
      <c r="B130">
        <v>203</v>
      </c>
      <c r="C130">
        <v>66.5</v>
      </c>
      <c r="D130">
        <v>117</v>
      </c>
    </row>
    <row r="131" spans="1:4" x14ac:dyDescent="0.3">
      <c r="A131" t="s">
        <v>10</v>
      </c>
      <c r="B131">
        <v>200</v>
      </c>
      <c r="C131">
        <v>71</v>
      </c>
      <c r="D131">
        <v>147</v>
      </c>
    </row>
    <row r="132" spans="1:4" x14ac:dyDescent="0.3">
      <c r="A132" t="s">
        <v>10</v>
      </c>
      <c r="B132">
        <v>145</v>
      </c>
      <c r="C132">
        <v>56.5</v>
      </c>
      <c r="D132">
        <v>91</v>
      </c>
    </row>
    <row r="133" spans="1:4" x14ac:dyDescent="0.3">
      <c r="A133" t="s">
        <v>10</v>
      </c>
      <c r="B133">
        <v>182</v>
      </c>
      <c r="C133">
        <v>67</v>
      </c>
      <c r="D133">
        <v>133</v>
      </c>
    </row>
    <row r="134" spans="1:4" x14ac:dyDescent="0.3">
      <c r="A134" t="s">
        <v>10</v>
      </c>
      <c r="B134">
        <v>177</v>
      </c>
      <c r="C134">
        <v>63</v>
      </c>
      <c r="D134">
        <v>111</v>
      </c>
    </row>
    <row r="135" spans="1:4" x14ac:dyDescent="0.3">
      <c r="A135" t="s">
        <v>10</v>
      </c>
      <c r="B135">
        <v>150</v>
      </c>
      <c r="C135">
        <v>59</v>
      </c>
      <c r="D135">
        <v>98</v>
      </c>
    </row>
    <row r="136" spans="1:4" x14ac:dyDescent="0.3">
      <c r="A136" t="s">
        <v>10</v>
      </c>
      <c r="B136">
        <v>171</v>
      </c>
      <c r="C136">
        <v>61.8</v>
      </c>
      <c r="D136">
        <v>112</v>
      </c>
    </row>
    <row r="137" spans="1:4" x14ac:dyDescent="0.3">
      <c r="A137" t="s">
        <v>10</v>
      </c>
      <c r="B137">
        <v>142</v>
      </c>
      <c r="C137">
        <v>56</v>
      </c>
      <c r="D137">
        <v>87.5</v>
      </c>
    </row>
    <row r="138" spans="1:4" x14ac:dyDescent="0.3">
      <c r="A138" t="s">
        <v>10</v>
      </c>
      <c r="B138">
        <v>144</v>
      </c>
      <c r="C138">
        <v>60</v>
      </c>
      <c r="D138">
        <v>89</v>
      </c>
    </row>
    <row r="139" spans="1:4" x14ac:dyDescent="0.3">
      <c r="A139" t="s">
        <v>10</v>
      </c>
      <c r="B139">
        <v>193</v>
      </c>
      <c r="C139">
        <v>72</v>
      </c>
      <c r="D139">
        <v>150</v>
      </c>
    </row>
    <row r="140" spans="1:4" x14ac:dyDescent="0.3">
      <c r="A140" t="s">
        <v>10</v>
      </c>
      <c r="B140">
        <v>139</v>
      </c>
      <c r="C140">
        <v>55</v>
      </c>
      <c r="D140">
        <v>73.5</v>
      </c>
    </row>
    <row r="141" spans="1:4" x14ac:dyDescent="0.3">
      <c r="A141" t="s">
        <v>10</v>
      </c>
      <c r="B141">
        <v>196</v>
      </c>
      <c r="C141">
        <v>64.5</v>
      </c>
      <c r="D141">
        <v>98</v>
      </c>
    </row>
    <row r="142" spans="1:4" x14ac:dyDescent="0.3">
      <c r="A142" t="s">
        <v>10</v>
      </c>
      <c r="B142">
        <v>153</v>
      </c>
      <c r="C142">
        <v>57.8</v>
      </c>
      <c r="D142">
        <v>79.5</v>
      </c>
    </row>
    <row r="143" spans="1:4" x14ac:dyDescent="0.3">
      <c r="A143" t="s">
        <v>10</v>
      </c>
      <c r="B143">
        <v>164</v>
      </c>
      <c r="C143">
        <v>66.5</v>
      </c>
      <c r="D143">
        <v>112</v>
      </c>
    </row>
    <row r="144" spans="1:4" x14ac:dyDescent="0.3">
      <c r="A144" t="s">
        <v>10</v>
      </c>
      <c r="B144">
        <v>151</v>
      </c>
      <c r="C144">
        <v>59.3</v>
      </c>
      <c r="D144">
        <v>87</v>
      </c>
    </row>
    <row r="145" spans="1:4" x14ac:dyDescent="0.3">
      <c r="A145" t="s">
        <v>10</v>
      </c>
      <c r="B145">
        <v>144</v>
      </c>
      <c r="C145">
        <v>57.3</v>
      </c>
      <c r="D145">
        <v>76.5</v>
      </c>
    </row>
    <row r="146" spans="1:4" x14ac:dyDescent="0.3">
      <c r="A146" t="s">
        <v>10</v>
      </c>
      <c r="B146">
        <v>189</v>
      </c>
      <c r="C146">
        <v>67</v>
      </c>
      <c r="D146">
        <v>128</v>
      </c>
    </row>
    <row r="147" spans="1:4" x14ac:dyDescent="0.3">
      <c r="A147" t="s">
        <v>10</v>
      </c>
      <c r="B147">
        <v>160</v>
      </c>
      <c r="C147">
        <v>60.5</v>
      </c>
      <c r="D147">
        <v>84</v>
      </c>
    </row>
    <row r="148" spans="1:4" x14ac:dyDescent="0.3">
      <c r="A148" t="s">
        <v>10</v>
      </c>
      <c r="B148">
        <v>141</v>
      </c>
      <c r="C148">
        <v>53.3</v>
      </c>
      <c r="D148">
        <v>84</v>
      </c>
    </row>
    <row r="149" spans="1:4" x14ac:dyDescent="0.3">
      <c r="A149" t="s">
        <v>10</v>
      </c>
      <c r="B149">
        <v>206</v>
      </c>
      <c r="C149">
        <v>68.3</v>
      </c>
      <c r="D149">
        <v>134</v>
      </c>
    </row>
    <row r="150" spans="1:4" x14ac:dyDescent="0.3">
      <c r="A150" t="s">
        <v>10</v>
      </c>
      <c r="B150">
        <v>140</v>
      </c>
      <c r="C150">
        <v>59.5</v>
      </c>
      <c r="D150">
        <v>94.5</v>
      </c>
    </row>
    <row r="151" spans="1:4" x14ac:dyDescent="0.3">
      <c r="A151" t="s">
        <v>10</v>
      </c>
      <c r="B151">
        <v>183</v>
      </c>
      <c r="C151">
        <v>66</v>
      </c>
      <c r="D151">
        <v>105.5</v>
      </c>
    </row>
    <row r="152" spans="1:4" x14ac:dyDescent="0.3">
      <c r="A152" t="s">
        <v>10</v>
      </c>
      <c r="B152">
        <v>144</v>
      </c>
      <c r="C152">
        <v>62.8</v>
      </c>
      <c r="D152">
        <v>94</v>
      </c>
    </row>
    <row r="153" spans="1:4" x14ac:dyDescent="0.3">
      <c r="A153" t="s">
        <v>10</v>
      </c>
      <c r="B153">
        <v>162</v>
      </c>
      <c r="C153">
        <v>64.5</v>
      </c>
      <c r="D153">
        <v>119</v>
      </c>
    </row>
    <row r="154" spans="1:4" x14ac:dyDescent="0.3">
      <c r="A154" t="s">
        <v>10</v>
      </c>
      <c r="B154">
        <v>175</v>
      </c>
      <c r="C154">
        <v>64</v>
      </c>
      <c r="D154">
        <v>92</v>
      </c>
    </row>
    <row r="155" spans="1:4" x14ac:dyDescent="0.3">
      <c r="A155" t="s">
        <v>10</v>
      </c>
      <c r="B155">
        <v>170</v>
      </c>
      <c r="C155">
        <v>63.8</v>
      </c>
      <c r="D155">
        <v>112.5</v>
      </c>
    </row>
    <row r="156" spans="1:4" x14ac:dyDescent="0.3">
      <c r="A156" t="s">
        <v>10</v>
      </c>
      <c r="B156">
        <v>156</v>
      </c>
      <c r="C156">
        <v>66.3</v>
      </c>
      <c r="D156">
        <v>106</v>
      </c>
    </row>
    <row r="157" spans="1:4" x14ac:dyDescent="0.3">
      <c r="A157" t="s">
        <v>10</v>
      </c>
      <c r="B157">
        <v>188</v>
      </c>
      <c r="C157">
        <v>67.3</v>
      </c>
      <c r="D157">
        <v>112</v>
      </c>
    </row>
    <row r="158" spans="1:4" x14ac:dyDescent="0.3">
      <c r="A158" t="s">
        <v>10</v>
      </c>
      <c r="B158">
        <v>193</v>
      </c>
      <c r="C158">
        <v>67.8</v>
      </c>
      <c r="D158">
        <v>127.5</v>
      </c>
    </row>
    <row r="159" spans="1:4" x14ac:dyDescent="0.3">
      <c r="A159" t="s">
        <v>10</v>
      </c>
      <c r="B159">
        <v>156</v>
      </c>
      <c r="C159">
        <v>58.3</v>
      </c>
      <c r="D159">
        <v>92.5</v>
      </c>
    </row>
    <row r="160" spans="1:4" x14ac:dyDescent="0.3">
      <c r="A160" t="s">
        <v>10</v>
      </c>
      <c r="B160">
        <v>156</v>
      </c>
      <c r="C160">
        <v>68.5</v>
      </c>
      <c r="D160">
        <v>114</v>
      </c>
    </row>
    <row r="161" spans="1:4" x14ac:dyDescent="0.3">
      <c r="A161" t="s">
        <v>10</v>
      </c>
      <c r="B161">
        <v>149</v>
      </c>
      <c r="C161">
        <v>52.5</v>
      </c>
      <c r="D161">
        <v>81</v>
      </c>
    </row>
    <row r="162" spans="1:4" x14ac:dyDescent="0.3">
      <c r="A162" t="s">
        <v>10</v>
      </c>
      <c r="B162">
        <v>142</v>
      </c>
      <c r="C162">
        <v>58.8</v>
      </c>
      <c r="D162">
        <v>84</v>
      </c>
    </row>
    <row r="163" spans="1:4" x14ac:dyDescent="0.3">
      <c r="A163" t="s">
        <v>10</v>
      </c>
      <c r="B163">
        <v>152</v>
      </c>
      <c r="C163">
        <v>59.5</v>
      </c>
      <c r="D163">
        <v>105</v>
      </c>
    </row>
    <row r="164" spans="1:4" x14ac:dyDescent="0.3">
      <c r="A164" t="s">
        <v>10</v>
      </c>
      <c r="B164">
        <v>143</v>
      </c>
      <c r="C164">
        <v>57.5</v>
      </c>
      <c r="D164">
        <v>101</v>
      </c>
    </row>
    <row r="165" spans="1:4" x14ac:dyDescent="0.3">
      <c r="A165" t="s">
        <v>10</v>
      </c>
      <c r="B165">
        <v>173</v>
      </c>
      <c r="C165">
        <v>66</v>
      </c>
      <c r="D165">
        <v>112</v>
      </c>
    </row>
    <row r="166" spans="1:4" x14ac:dyDescent="0.3">
      <c r="A166" t="s">
        <v>10</v>
      </c>
      <c r="B166">
        <v>177</v>
      </c>
      <c r="C166">
        <v>60.5</v>
      </c>
      <c r="D166">
        <v>112</v>
      </c>
    </row>
    <row r="167" spans="1:4" x14ac:dyDescent="0.3">
      <c r="A167" t="s">
        <v>10</v>
      </c>
      <c r="B167">
        <v>150</v>
      </c>
      <c r="C167">
        <v>61.8</v>
      </c>
      <c r="D167">
        <v>118</v>
      </c>
    </row>
    <row r="168" spans="1:4" x14ac:dyDescent="0.3">
      <c r="A168" t="s">
        <v>10</v>
      </c>
      <c r="B168">
        <v>162</v>
      </c>
      <c r="C168">
        <v>63</v>
      </c>
      <c r="D168">
        <v>91</v>
      </c>
    </row>
    <row r="169" spans="1:4" x14ac:dyDescent="0.3">
      <c r="A169" t="s">
        <v>10</v>
      </c>
      <c r="B169">
        <v>148</v>
      </c>
      <c r="C169">
        <v>60.5</v>
      </c>
      <c r="D169">
        <v>118</v>
      </c>
    </row>
    <row r="170" spans="1:4" x14ac:dyDescent="0.3">
      <c r="A170" t="s">
        <v>10</v>
      </c>
      <c r="B170">
        <v>206</v>
      </c>
      <c r="C170">
        <v>69.5</v>
      </c>
      <c r="D170">
        <v>171.5</v>
      </c>
    </row>
    <row r="171" spans="1:4" x14ac:dyDescent="0.3">
      <c r="A171" t="s">
        <v>10</v>
      </c>
      <c r="B171">
        <v>194</v>
      </c>
      <c r="C171">
        <v>65.3</v>
      </c>
      <c r="D171">
        <v>134.5</v>
      </c>
    </row>
    <row r="172" spans="1:4" x14ac:dyDescent="0.3">
      <c r="A172" t="s">
        <v>10</v>
      </c>
      <c r="B172">
        <v>186</v>
      </c>
      <c r="C172">
        <v>66.5</v>
      </c>
      <c r="D172">
        <v>112</v>
      </c>
    </row>
    <row r="173" spans="1:4" x14ac:dyDescent="0.3">
      <c r="A173" t="s">
        <v>10</v>
      </c>
      <c r="B173">
        <v>164</v>
      </c>
      <c r="C173">
        <v>58</v>
      </c>
      <c r="D173">
        <v>84</v>
      </c>
    </row>
    <row r="174" spans="1:4" x14ac:dyDescent="0.3">
      <c r="A174" t="s">
        <v>10</v>
      </c>
      <c r="B174">
        <v>155</v>
      </c>
      <c r="C174">
        <v>57.3</v>
      </c>
      <c r="D174">
        <v>80.5</v>
      </c>
    </row>
    <row r="175" spans="1:4" x14ac:dyDescent="0.3">
      <c r="A175" t="s">
        <v>10</v>
      </c>
      <c r="B175">
        <v>189</v>
      </c>
      <c r="C175">
        <v>65</v>
      </c>
      <c r="D175">
        <v>114</v>
      </c>
    </row>
    <row r="176" spans="1:4" x14ac:dyDescent="0.3">
      <c r="A176" t="s">
        <v>10</v>
      </c>
      <c r="B176">
        <v>150</v>
      </c>
      <c r="C176">
        <v>59.5</v>
      </c>
      <c r="D176">
        <v>84</v>
      </c>
    </row>
    <row r="177" spans="1:4" x14ac:dyDescent="0.3">
      <c r="A177" t="s">
        <v>10</v>
      </c>
      <c r="B177">
        <v>183</v>
      </c>
      <c r="C177">
        <v>64.8</v>
      </c>
      <c r="D177">
        <v>111</v>
      </c>
    </row>
    <row r="178" spans="1:4" x14ac:dyDescent="0.3">
      <c r="A178" t="s">
        <v>10</v>
      </c>
      <c r="B178">
        <v>156</v>
      </c>
      <c r="C178">
        <v>61.8</v>
      </c>
      <c r="D178">
        <v>112</v>
      </c>
    </row>
    <row r="179" spans="1:4" x14ac:dyDescent="0.3">
      <c r="A179" t="s">
        <v>10</v>
      </c>
      <c r="B179">
        <v>150</v>
      </c>
      <c r="C179">
        <v>59</v>
      </c>
      <c r="D179">
        <v>99.5</v>
      </c>
    </row>
    <row r="180" spans="1:4" x14ac:dyDescent="0.3">
      <c r="A180" t="s">
        <v>10</v>
      </c>
      <c r="B180">
        <v>250</v>
      </c>
      <c r="C180">
        <v>67.5</v>
      </c>
      <c r="D180">
        <v>171.5</v>
      </c>
    </row>
    <row r="181" spans="1:4" x14ac:dyDescent="0.3">
      <c r="A181" t="s">
        <v>10</v>
      </c>
      <c r="B181">
        <v>185</v>
      </c>
      <c r="C181">
        <v>66</v>
      </c>
      <c r="D181">
        <v>105</v>
      </c>
    </row>
    <row r="182" spans="1:4" x14ac:dyDescent="0.3">
      <c r="A182" t="s">
        <v>10</v>
      </c>
      <c r="B182">
        <v>140</v>
      </c>
      <c r="C182">
        <v>56.5</v>
      </c>
      <c r="D182">
        <v>84</v>
      </c>
    </row>
    <row r="183" spans="1:4" x14ac:dyDescent="0.3">
      <c r="A183" t="s">
        <v>10</v>
      </c>
      <c r="B183">
        <v>160</v>
      </c>
      <c r="C183">
        <v>59.3</v>
      </c>
      <c r="D183">
        <v>78.5</v>
      </c>
    </row>
    <row r="184" spans="1:4" x14ac:dyDescent="0.3">
      <c r="A184" t="s">
        <v>10</v>
      </c>
      <c r="B184">
        <v>164</v>
      </c>
      <c r="C184">
        <v>60.5</v>
      </c>
      <c r="D184">
        <v>95</v>
      </c>
    </row>
    <row r="185" spans="1:4" x14ac:dyDescent="0.3">
      <c r="A185" t="s">
        <v>10</v>
      </c>
      <c r="B185">
        <v>175</v>
      </c>
      <c r="C185">
        <v>68</v>
      </c>
      <c r="D185">
        <v>112</v>
      </c>
    </row>
    <row r="186" spans="1:4" x14ac:dyDescent="0.3">
      <c r="A186" t="s">
        <v>10</v>
      </c>
      <c r="B186">
        <v>174</v>
      </c>
      <c r="C186">
        <v>66</v>
      </c>
      <c r="D186">
        <v>108</v>
      </c>
    </row>
    <row r="187" spans="1:4" x14ac:dyDescent="0.3">
      <c r="A187" t="s">
        <v>10</v>
      </c>
      <c r="B187">
        <v>149</v>
      </c>
      <c r="C187">
        <v>57</v>
      </c>
      <c r="D187">
        <v>92</v>
      </c>
    </row>
    <row r="188" spans="1:4" x14ac:dyDescent="0.3">
      <c r="A188" t="s">
        <v>10</v>
      </c>
      <c r="B188">
        <v>169</v>
      </c>
      <c r="C188">
        <v>62</v>
      </c>
      <c r="D188">
        <v>100</v>
      </c>
    </row>
    <row r="189" spans="1:4" x14ac:dyDescent="0.3">
      <c r="A189" t="s">
        <v>10</v>
      </c>
      <c r="B189">
        <v>157</v>
      </c>
      <c r="C189">
        <v>58</v>
      </c>
      <c r="D189">
        <v>80.5</v>
      </c>
    </row>
    <row r="190" spans="1:4" x14ac:dyDescent="0.3">
      <c r="A190" t="s">
        <v>10</v>
      </c>
      <c r="B190">
        <v>156</v>
      </c>
      <c r="C190">
        <v>61.5</v>
      </c>
      <c r="D190">
        <v>108.5</v>
      </c>
    </row>
    <row r="191" spans="1:4" x14ac:dyDescent="0.3">
      <c r="A191" t="s">
        <v>10</v>
      </c>
      <c r="B191">
        <v>144</v>
      </c>
      <c r="C191">
        <v>57</v>
      </c>
      <c r="D191">
        <v>84</v>
      </c>
    </row>
    <row r="192" spans="1:4" x14ac:dyDescent="0.3">
      <c r="A192" t="s">
        <v>10</v>
      </c>
      <c r="B192">
        <v>142</v>
      </c>
      <c r="C192">
        <v>55</v>
      </c>
      <c r="D192">
        <v>70</v>
      </c>
    </row>
    <row r="193" spans="1:4" x14ac:dyDescent="0.3">
      <c r="A193" t="s">
        <v>10</v>
      </c>
      <c r="B193">
        <v>189</v>
      </c>
      <c r="C193">
        <v>66.3</v>
      </c>
      <c r="D193">
        <v>112</v>
      </c>
    </row>
    <row r="194" spans="1:4" x14ac:dyDescent="0.3">
      <c r="A194" t="s">
        <v>10</v>
      </c>
      <c r="B194">
        <v>174</v>
      </c>
      <c r="C194">
        <v>69.8</v>
      </c>
      <c r="D194">
        <v>119.5</v>
      </c>
    </row>
    <row r="195" spans="1:4" x14ac:dyDescent="0.3">
      <c r="A195" t="s">
        <v>10</v>
      </c>
      <c r="B195">
        <v>163</v>
      </c>
      <c r="C195">
        <v>65.3</v>
      </c>
      <c r="D195">
        <v>117.5</v>
      </c>
    </row>
    <row r="196" spans="1:4" x14ac:dyDescent="0.3">
      <c r="A196" t="s">
        <v>10</v>
      </c>
      <c r="B196">
        <v>155</v>
      </c>
      <c r="C196">
        <v>61.8</v>
      </c>
      <c r="D196">
        <v>91.5</v>
      </c>
    </row>
    <row r="197" spans="1:4" x14ac:dyDescent="0.3">
      <c r="A197" t="s">
        <v>10</v>
      </c>
      <c r="B197">
        <v>175</v>
      </c>
      <c r="C197">
        <v>65.5</v>
      </c>
      <c r="D197">
        <v>114</v>
      </c>
    </row>
    <row r="198" spans="1:4" x14ac:dyDescent="0.3">
      <c r="A198" t="s">
        <v>10</v>
      </c>
      <c r="B198">
        <v>188</v>
      </c>
      <c r="C198">
        <v>63.3</v>
      </c>
      <c r="D198">
        <v>115.5</v>
      </c>
    </row>
    <row r="199" spans="1:4" x14ac:dyDescent="0.3">
      <c r="A199" t="s">
        <v>10</v>
      </c>
      <c r="B199">
        <v>141</v>
      </c>
      <c r="C199">
        <v>57.5</v>
      </c>
      <c r="D199">
        <v>85</v>
      </c>
    </row>
    <row r="200" spans="1:4" x14ac:dyDescent="0.3">
      <c r="A200" t="s">
        <v>10</v>
      </c>
      <c r="B200">
        <v>140</v>
      </c>
      <c r="C200">
        <v>56.8</v>
      </c>
      <c r="D200">
        <v>83.5</v>
      </c>
    </row>
    <row r="201" spans="1:4" x14ac:dyDescent="0.3">
      <c r="A201" t="s">
        <v>10</v>
      </c>
      <c r="B201">
        <v>159</v>
      </c>
      <c r="C201">
        <v>63.3</v>
      </c>
      <c r="D201">
        <v>112</v>
      </c>
    </row>
    <row r="202" spans="1:4" x14ac:dyDescent="0.3">
      <c r="A202" t="s">
        <v>10</v>
      </c>
      <c r="B202">
        <v>152</v>
      </c>
      <c r="C202">
        <v>60.8</v>
      </c>
      <c r="D202">
        <v>97</v>
      </c>
    </row>
    <row r="203" spans="1:4" x14ac:dyDescent="0.3">
      <c r="A203" t="s">
        <v>10</v>
      </c>
      <c r="B203">
        <v>161</v>
      </c>
      <c r="C203">
        <v>56.8</v>
      </c>
      <c r="D203">
        <v>75</v>
      </c>
    </row>
    <row r="204" spans="1:4" x14ac:dyDescent="0.3">
      <c r="A204" t="s">
        <v>10</v>
      </c>
      <c r="B204">
        <v>159</v>
      </c>
      <c r="C204">
        <v>62.8</v>
      </c>
      <c r="D204">
        <v>99</v>
      </c>
    </row>
    <row r="205" spans="1:4" x14ac:dyDescent="0.3">
      <c r="A205" t="s">
        <v>10</v>
      </c>
      <c r="B205">
        <v>178</v>
      </c>
      <c r="C205">
        <v>63.5</v>
      </c>
      <c r="D205">
        <v>102.5</v>
      </c>
    </row>
    <row r="206" spans="1:4" x14ac:dyDescent="0.3">
      <c r="A206" t="s">
        <v>10</v>
      </c>
      <c r="B206">
        <v>164</v>
      </c>
      <c r="C206">
        <v>61.5</v>
      </c>
      <c r="D206">
        <v>140</v>
      </c>
    </row>
    <row r="207" spans="1:4" x14ac:dyDescent="0.3">
      <c r="A207" t="s">
        <v>10</v>
      </c>
      <c r="B207">
        <v>165</v>
      </c>
      <c r="C207">
        <v>64.8</v>
      </c>
      <c r="D207">
        <v>98</v>
      </c>
    </row>
    <row r="208" spans="1:4" x14ac:dyDescent="0.3">
      <c r="A208" t="s">
        <v>10</v>
      </c>
      <c r="B208">
        <v>150</v>
      </c>
      <c r="C208">
        <v>60.8</v>
      </c>
      <c r="D208">
        <v>128</v>
      </c>
    </row>
    <row r="209" spans="1:4" x14ac:dyDescent="0.3">
      <c r="A209" t="s">
        <v>10</v>
      </c>
      <c r="B209">
        <v>147</v>
      </c>
      <c r="C209">
        <v>50.5</v>
      </c>
      <c r="D209">
        <v>79</v>
      </c>
    </row>
    <row r="210" spans="1:4" x14ac:dyDescent="0.3">
      <c r="A210" t="s">
        <v>10</v>
      </c>
      <c r="B210">
        <v>173</v>
      </c>
      <c r="C210">
        <v>61.3</v>
      </c>
      <c r="D210">
        <v>93</v>
      </c>
    </row>
    <row r="211" spans="1:4" x14ac:dyDescent="0.3">
      <c r="A211" t="s">
        <v>10</v>
      </c>
      <c r="B211">
        <v>164</v>
      </c>
      <c r="C211">
        <v>57.8</v>
      </c>
      <c r="D211">
        <v>95</v>
      </c>
    </row>
    <row r="212" spans="1:4" x14ac:dyDescent="0.3">
      <c r="A212" t="s">
        <v>10</v>
      </c>
      <c r="B212">
        <v>176</v>
      </c>
      <c r="C212">
        <v>63.8</v>
      </c>
      <c r="D212">
        <v>98.5</v>
      </c>
    </row>
    <row r="213" spans="1:4" x14ac:dyDescent="0.3">
      <c r="A213" t="s">
        <v>10</v>
      </c>
      <c r="B213">
        <v>180</v>
      </c>
      <c r="C213">
        <v>61.8</v>
      </c>
      <c r="D213">
        <v>104</v>
      </c>
    </row>
    <row r="214" spans="1:4" x14ac:dyDescent="0.3">
      <c r="A214" t="s">
        <v>10</v>
      </c>
      <c r="B214">
        <v>151</v>
      </c>
      <c r="C214">
        <v>58.3</v>
      </c>
      <c r="D214">
        <v>86</v>
      </c>
    </row>
    <row r="215" spans="1:4" x14ac:dyDescent="0.3">
      <c r="A215" t="s">
        <v>10</v>
      </c>
      <c r="B215">
        <v>178</v>
      </c>
      <c r="C215">
        <v>67.3</v>
      </c>
      <c r="D215">
        <v>119.5</v>
      </c>
    </row>
    <row r="216" spans="1:4" x14ac:dyDescent="0.3">
      <c r="A216" t="s">
        <v>10</v>
      </c>
      <c r="B216">
        <v>186</v>
      </c>
      <c r="C216">
        <v>66</v>
      </c>
      <c r="D216">
        <v>112</v>
      </c>
    </row>
    <row r="217" spans="1:4" x14ac:dyDescent="0.3">
      <c r="A217" t="s">
        <v>10</v>
      </c>
      <c r="B217">
        <v>175</v>
      </c>
      <c r="C217">
        <v>63.5</v>
      </c>
      <c r="D217">
        <v>98.5</v>
      </c>
    </row>
    <row r="218" spans="1:4" x14ac:dyDescent="0.3">
      <c r="A218" t="s">
        <v>10</v>
      </c>
      <c r="B218">
        <v>164</v>
      </c>
      <c r="C218">
        <v>63.5</v>
      </c>
      <c r="D218">
        <v>108</v>
      </c>
    </row>
    <row r="219" spans="1:4" x14ac:dyDescent="0.3">
      <c r="A219" t="s">
        <v>10</v>
      </c>
      <c r="B219">
        <v>144</v>
      </c>
      <c r="C219">
        <v>60</v>
      </c>
      <c r="D219">
        <v>117.5</v>
      </c>
    </row>
    <row r="220" spans="1:4" x14ac:dyDescent="0.3">
      <c r="A220" t="s">
        <v>10</v>
      </c>
      <c r="B220">
        <v>172</v>
      </c>
      <c r="C220">
        <v>65</v>
      </c>
      <c r="D220">
        <v>112</v>
      </c>
    </row>
    <row r="221" spans="1:4" x14ac:dyDescent="0.3">
      <c r="A221" t="s">
        <v>10</v>
      </c>
      <c r="B221">
        <v>168</v>
      </c>
      <c r="C221">
        <v>60</v>
      </c>
      <c r="D221">
        <v>93.5</v>
      </c>
    </row>
    <row r="222" spans="1:4" x14ac:dyDescent="0.3">
      <c r="A222" t="s">
        <v>10</v>
      </c>
      <c r="B222">
        <v>158</v>
      </c>
      <c r="C222">
        <v>65</v>
      </c>
      <c r="D222">
        <v>121</v>
      </c>
    </row>
    <row r="223" spans="1:4" x14ac:dyDescent="0.3">
      <c r="A223" t="s">
        <v>10</v>
      </c>
      <c r="B223">
        <v>176</v>
      </c>
      <c r="C223">
        <v>61.5</v>
      </c>
      <c r="D223">
        <v>81</v>
      </c>
    </row>
    <row r="224" spans="1:4" x14ac:dyDescent="0.3">
      <c r="A224" t="s">
        <v>10</v>
      </c>
      <c r="B224">
        <v>188</v>
      </c>
      <c r="C224">
        <v>71</v>
      </c>
      <c r="D224">
        <v>140</v>
      </c>
    </row>
    <row r="225" spans="1:4" x14ac:dyDescent="0.3">
      <c r="A225" t="s">
        <v>10</v>
      </c>
      <c r="B225">
        <v>188</v>
      </c>
      <c r="C225">
        <v>65.8</v>
      </c>
      <c r="D225">
        <v>150.5</v>
      </c>
    </row>
    <row r="226" spans="1:4" x14ac:dyDescent="0.3">
      <c r="A226" t="s">
        <v>10</v>
      </c>
      <c r="B226">
        <v>166</v>
      </c>
      <c r="C226">
        <v>62.5</v>
      </c>
      <c r="D226">
        <v>84</v>
      </c>
    </row>
    <row r="227" spans="1:4" x14ac:dyDescent="0.3">
      <c r="A227" t="s">
        <v>10</v>
      </c>
      <c r="B227">
        <v>166</v>
      </c>
      <c r="C227">
        <v>67.3</v>
      </c>
      <c r="D227">
        <v>121</v>
      </c>
    </row>
    <row r="228" spans="1:4" x14ac:dyDescent="0.3">
      <c r="A228" t="s">
        <v>10</v>
      </c>
      <c r="B228">
        <v>162</v>
      </c>
      <c r="C228">
        <v>60</v>
      </c>
      <c r="D228">
        <v>105</v>
      </c>
    </row>
    <row r="229" spans="1:4" x14ac:dyDescent="0.3">
      <c r="A229" t="s">
        <v>10</v>
      </c>
      <c r="B229">
        <v>166</v>
      </c>
      <c r="C229">
        <v>62</v>
      </c>
      <c r="D229">
        <v>91</v>
      </c>
    </row>
    <row r="230" spans="1:4" x14ac:dyDescent="0.3">
      <c r="A230" t="s">
        <v>10</v>
      </c>
      <c r="B230">
        <v>163</v>
      </c>
      <c r="C230">
        <v>66</v>
      </c>
      <c r="D230">
        <v>112</v>
      </c>
    </row>
    <row r="231" spans="1:4" x14ac:dyDescent="0.3">
      <c r="A231" t="s">
        <v>10</v>
      </c>
      <c r="B231">
        <v>174</v>
      </c>
      <c r="C231">
        <v>63</v>
      </c>
      <c r="D231">
        <v>112</v>
      </c>
    </row>
    <row r="232" spans="1:4" x14ac:dyDescent="0.3">
      <c r="A232" t="s">
        <v>10</v>
      </c>
      <c r="B232">
        <v>160</v>
      </c>
      <c r="C232">
        <v>64</v>
      </c>
      <c r="D232">
        <v>116</v>
      </c>
    </row>
    <row r="233" spans="1:4" x14ac:dyDescent="0.3">
      <c r="A233" t="s">
        <v>10</v>
      </c>
      <c r="B233">
        <v>149</v>
      </c>
      <c r="C233">
        <v>56.3</v>
      </c>
      <c r="D233">
        <v>72</v>
      </c>
    </row>
    <row r="234" spans="1:4" x14ac:dyDescent="0.3">
      <c r="A234" t="s">
        <v>10</v>
      </c>
      <c r="B234">
        <v>146</v>
      </c>
      <c r="C234">
        <v>55</v>
      </c>
      <c r="D234">
        <v>71.5</v>
      </c>
    </row>
    <row r="235" spans="1:4" x14ac:dyDescent="0.3">
      <c r="A235" t="s">
        <v>10</v>
      </c>
      <c r="B235">
        <v>153</v>
      </c>
      <c r="C235">
        <v>64.8</v>
      </c>
      <c r="D235">
        <v>128</v>
      </c>
    </row>
    <row r="236" spans="1:4" x14ac:dyDescent="0.3">
      <c r="A236" t="s">
        <v>10</v>
      </c>
      <c r="B236">
        <v>178</v>
      </c>
      <c r="C236">
        <v>63.8</v>
      </c>
      <c r="D236">
        <v>112</v>
      </c>
    </row>
    <row r="237" spans="1:4" x14ac:dyDescent="0.3">
      <c r="A237" t="s">
        <v>10</v>
      </c>
      <c r="B237">
        <v>142</v>
      </c>
      <c r="C237">
        <v>55</v>
      </c>
      <c r="D237">
        <v>76</v>
      </c>
    </row>
    <row r="238" spans="1:4" x14ac:dyDescent="0.3">
      <c r="A238" t="s">
        <v>10</v>
      </c>
      <c r="B238">
        <v>167</v>
      </c>
      <c r="C238">
        <v>62</v>
      </c>
      <c r="D238">
        <v>107.5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B5866-03A5-4B9B-86C2-DAC0A3A3516D}">
  <sheetPr codeName="Sheet7"/>
  <dimension ref="A1:E61"/>
  <sheetViews>
    <sheetView zoomScale="99" zoomScaleNormal="99" workbookViewId="0">
      <selection activeCell="M15" sqref="M15:M16"/>
    </sheetView>
  </sheetViews>
  <sheetFormatPr baseColWidth="10" defaultColWidth="8.88671875" defaultRowHeight="14.4" x14ac:dyDescent="0.3"/>
  <cols>
    <col min="1" max="1" width="11.44140625" customWidth="1"/>
    <col min="3" max="3" width="15.21875" customWidth="1"/>
    <col min="4" max="4" width="11.77734375" customWidth="1"/>
    <col min="5" max="5" width="12" bestFit="1" customWidth="1"/>
  </cols>
  <sheetData>
    <row r="1" spans="1:5" x14ac:dyDescent="0.3">
      <c r="A1" s="2" t="s">
        <v>11</v>
      </c>
      <c r="B1" s="2" t="s">
        <v>6</v>
      </c>
      <c r="C1" s="2" t="s">
        <v>12</v>
      </c>
      <c r="D1" s="2" t="s">
        <v>13</v>
      </c>
      <c r="E1" s="2" t="s">
        <v>14</v>
      </c>
    </row>
    <row r="2" spans="1:5" x14ac:dyDescent="0.3">
      <c r="A2">
        <v>1</v>
      </c>
      <c r="B2" t="s">
        <v>15</v>
      </c>
      <c r="C2" s="3">
        <v>63.16</v>
      </c>
      <c r="D2">
        <v>12</v>
      </c>
      <c r="E2">
        <v>0</v>
      </c>
    </row>
    <row r="3" spans="1:5" x14ac:dyDescent="0.3">
      <c r="A3">
        <v>2</v>
      </c>
      <c r="B3" t="s">
        <v>15</v>
      </c>
      <c r="C3" s="3">
        <v>1.45</v>
      </c>
      <c r="D3">
        <v>35</v>
      </c>
      <c r="E3">
        <v>1</v>
      </c>
    </row>
    <row r="4" spans="1:5" x14ac:dyDescent="0.3">
      <c r="A4">
        <v>3</v>
      </c>
      <c r="B4" t="s">
        <v>15</v>
      </c>
      <c r="C4" s="3">
        <v>98.84</v>
      </c>
      <c r="D4">
        <v>116</v>
      </c>
      <c r="E4">
        <v>1</v>
      </c>
    </row>
    <row r="5" spans="1:5" x14ac:dyDescent="0.3">
      <c r="A5">
        <v>4</v>
      </c>
      <c r="B5" t="s">
        <v>15</v>
      </c>
      <c r="C5" s="3">
        <v>28.13</v>
      </c>
      <c r="D5">
        <v>37</v>
      </c>
      <c r="E5">
        <v>1</v>
      </c>
    </row>
    <row r="6" spans="1:5" x14ac:dyDescent="0.3">
      <c r="A6">
        <v>5</v>
      </c>
      <c r="B6" t="s">
        <v>15</v>
      </c>
      <c r="C6" s="3">
        <v>6.95</v>
      </c>
      <c r="D6">
        <v>8</v>
      </c>
      <c r="E6">
        <v>1</v>
      </c>
    </row>
    <row r="7" spans="1:5" x14ac:dyDescent="0.3">
      <c r="A7">
        <v>6</v>
      </c>
      <c r="B7" t="s">
        <v>15</v>
      </c>
      <c r="C7" s="3">
        <v>16.66</v>
      </c>
      <c r="D7">
        <v>17</v>
      </c>
      <c r="E7">
        <v>0</v>
      </c>
    </row>
    <row r="8" spans="1:5" x14ac:dyDescent="0.3">
      <c r="A8">
        <v>7</v>
      </c>
      <c r="B8" t="s">
        <v>15</v>
      </c>
      <c r="C8" s="3">
        <v>27.11</v>
      </c>
      <c r="D8">
        <v>32</v>
      </c>
      <c r="E8">
        <v>0</v>
      </c>
    </row>
    <row r="9" spans="1:5" x14ac:dyDescent="0.3">
      <c r="A9">
        <v>8</v>
      </c>
      <c r="B9" t="s">
        <v>15</v>
      </c>
      <c r="C9" s="3">
        <v>14.09</v>
      </c>
      <c r="D9">
        <v>37</v>
      </c>
      <c r="E9">
        <v>1</v>
      </c>
    </row>
    <row r="10" spans="1:5" x14ac:dyDescent="0.3">
      <c r="A10">
        <v>9</v>
      </c>
      <c r="B10" t="s">
        <v>15</v>
      </c>
      <c r="C10" s="3">
        <v>12.29</v>
      </c>
      <c r="D10">
        <v>6</v>
      </c>
      <c r="E10">
        <v>1</v>
      </c>
    </row>
    <row r="11" spans="1:5" x14ac:dyDescent="0.3">
      <c r="A11">
        <v>10</v>
      </c>
      <c r="B11" t="s">
        <v>15</v>
      </c>
      <c r="C11" s="3">
        <v>13.59</v>
      </c>
      <c r="D11">
        <v>29</v>
      </c>
      <c r="E11">
        <v>0</v>
      </c>
    </row>
    <row r="12" spans="1:5" x14ac:dyDescent="0.3">
      <c r="A12">
        <v>11</v>
      </c>
      <c r="B12" t="s">
        <v>16</v>
      </c>
      <c r="C12" s="3">
        <v>54.84</v>
      </c>
      <c r="D12">
        <v>27</v>
      </c>
      <c r="E12">
        <v>1</v>
      </c>
    </row>
    <row r="13" spans="1:5" x14ac:dyDescent="0.3">
      <c r="A13">
        <v>12</v>
      </c>
      <c r="B13" t="s">
        <v>16</v>
      </c>
      <c r="C13" s="3">
        <v>34.76</v>
      </c>
      <c r="D13">
        <v>5</v>
      </c>
      <c r="E13">
        <v>1</v>
      </c>
    </row>
    <row r="14" spans="1:5" x14ac:dyDescent="0.3">
      <c r="A14">
        <v>13</v>
      </c>
      <c r="B14" t="s">
        <v>16</v>
      </c>
      <c r="C14" s="3">
        <v>115.74</v>
      </c>
      <c r="D14">
        <v>109</v>
      </c>
      <c r="E14">
        <v>1</v>
      </c>
    </row>
    <row r="15" spans="1:5" x14ac:dyDescent="0.3">
      <c r="A15">
        <v>14</v>
      </c>
      <c r="B15" t="s">
        <v>16</v>
      </c>
      <c r="C15" s="3">
        <v>51.08</v>
      </c>
      <c r="D15">
        <v>25</v>
      </c>
      <c r="E15">
        <v>1</v>
      </c>
    </row>
    <row r="16" spans="1:5" x14ac:dyDescent="0.3">
      <c r="A16">
        <v>15</v>
      </c>
      <c r="B16" t="s">
        <v>16</v>
      </c>
      <c r="C16" s="3">
        <v>30.78</v>
      </c>
      <c r="D16">
        <v>13</v>
      </c>
      <c r="E16">
        <v>0</v>
      </c>
    </row>
    <row r="17" spans="1:5" x14ac:dyDescent="0.3">
      <c r="A17">
        <v>16</v>
      </c>
      <c r="B17" t="s">
        <v>16</v>
      </c>
      <c r="C17" s="3">
        <v>51.11</v>
      </c>
      <c r="D17">
        <v>16</v>
      </c>
      <c r="E17">
        <v>1</v>
      </c>
    </row>
    <row r="18" spans="1:5" x14ac:dyDescent="0.3">
      <c r="A18">
        <v>17</v>
      </c>
      <c r="B18" t="s">
        <v>16</v>
      </c>
      <c r="C18" s="3">
        <v>31.53</v>
      </c>
      <c r="D18">
        <v>25</v>
      </c>
      <c r="E18">
        <v>1</v>
      </c>
    </row>
    <row r="19" spans="1:5" x14ac:dyDescent="0.3">
      <c r="A19">
        <v>18</v>
      </c>
      <c r="B19" t="s">
        <v>16</v>
      </c>
      <c r="C19" s="3">
        <v>38.479999999999997</v>
      </c>
      <c r="D19">
        <v>2</v>
      </c>
      <c r="E19">
        <v>0</v>
      </c>
    </row>
    <row r="20" spans="1:5" x14ac:dyDescent="0.3">
      <c r="A20">
        <v>19</v>
      </c>
      <c r="B20" t="s">
        <v>16</v>
      </c>
      <c r="C20" s="3">
        <v>73.900000000000006</v>
      </c>
      <c r="D20">
        <v>58</v>
      </c>
      <c r="E20">
        <v>1</v>
      </c>
    </row>
    <row r="21" spans="1:5" x14ac:dyDescent="0.3">
      <c r="A21">
        <v>20</v>
      </c>
      <c r="B21" t="s">
        <v>16</v>
      </c>
      <c r="C21" s="3">
        <v>4.95</v>
      </c>
      <c r="D21">
        <v>15</v>
      </c>
      <c r="E21">
        <v>0</v>
      </c>
    </row>
    <row r="22" spans="1:5" x14ac:dyDescent="0.3">
      <c r="A22">
        <v>21</v>
      </c>
      <c r="B22" t="s">
        <v>17</v>
      </c>
      <c r="C22" s="3">
        <v>39.71</v>
      </c>
      <c r="D22">
        <v>25</v>
      </c>
      <c r="E22">
        <v>1</v>
      </c>
    </row>
    <row r="23" spans="1:5" x14ac:dyDescent="0.3">
      <c r="A23">
        <v>22</v>
      </c>
      <c r="B23" t="s">
        <v>17</v>
      </c>
      <c r="C23" s="3">
        <v>60.56</v>
      </c>
      <c r="D23">
        <v>34</v>
      </c>
      <c r="E23">
        <v>1</v>
      </c>
    </row>
    <row r="24" spans="1:5" x14ac:dyDescent="0.3">
      <c r="A24">
        <v>23</v>
      </c>
      <c r="B24" t="s">
        <v>17</v>
      </c>
      <c r="C24" s="3">
        <v>24.1</v>
      </c>
      <c r="D24">
        <v>4</v>
      </c>
      <c r="E24">
        <v>1</v>
      </c>
    </row>
    <row r="25" spans="1:5" x14ac:dyDescent="0.3">
      <c r="A25">
        <v>24</v>
      </c>
      <c r="B25" t="s">
        <v>17</v>
      </c>
      <c r="C25" s="3">
        <v>93.38</v>
      </c>
      <c r="D25">
        <v>80</v>
      </c>
      <c r="E25">
        <v>1</v>
      </c>
    </row>
    <row r="26" spans="1:5" x14ac:dyDescent="0.3">
      <c r="A26">
        <v>25</v>
      </c>
      <c r="B26" t="s">
        <v>17</v>
      </c>
      <c r="C26" s="3">
        <v>23.11</v>
      </c>
      <c r="D26">
        <v>2</v>
      </c>
      <c r="E26">
        <v>0</v>
      </c>
    </row>
    <row r="27" spans="1:5" x14ac:dyDescent="0.3">
      <c r="A27">
        <v>26</v>
      </c>
      <c r="B27" t="s">
        <v>17</v>
      </c>
      <c r="C27" s="3">
        <v>40.72</v>
      </c>
      <c r="D27">
        <v>45</v>
      </c>
      <c r="E27">
        <v>1</v>
      </c>
    </row>
    <row r="28" spans="1:5" x14ac:dyDescent="0.3">
      <c r="A28">
        <v>27</v>
      </c>
      <c r="B28" t="s">
        <v>17</v>
      </c>
      <c r="C28" s="3">
        <v>19.43</v>
      </c>
      <c r="D28">
        <v>20</v>
      </c>
      <c r="E28">
        <v>0</v>
      </c>
    </row>
    <row r="29" spans="1:5" x14ac:dyDescent="0.3">
      <c r="A29">
        <v>28</v>
      </c>
      <c r="B29" t="s">
        <v>17</v>
      </c>
      <c r="C29" s="3">
        <v>80.84</v>
      </c>
      <c r="D29">
        <v>52</v>
      </c>
      <c r="E29">
        <v>1</v>
      </c>
    </row>
    <row r="30" spans="1:5" x14ac:dyDescent="0.3">
      <c r="A30">
        <v>29</v>
      </c>
      <c r="B30" t="s">
        <v>17</v>
      </c>
      <c r="C30" s="3">
        <v>24.86</v>
      </c>
      <c r="D30">
        <v>35</v>
      </c>
      <c r="E30">
        <v>1</v>
      </c>
    </row>
    <row r="31" spans="1:5" x14ac:dyDescent="0.3">
      <c r="A31">
        <v>30</v>
      </c>
      <c r="B31" t="s">
        <v>17</v>
      </c>
      <c r="C31" s="3">
        <v>34.28</v>
      </c>
      <c r="D31">
        <v>30</v>
      </c>
      <c r="E31">
        <v>1</v>
      </c>
    </row>
    <row r="32" spans="1:5" x14ac:dyDescent="0.3">
      <c r="A32">
        <v>31</v>
      </c>
      <c r="B32" t="s">
        <v>18</v>
      </c>
      <c r="C32" s="3">
        <v>40.47</v>
      </c>
      <c r="D32">
        <v>14</v>
      </c>
      <c r="E32">
        <v>0</v>
      </c>
    </row>
    <row r="33" spans="1:5" x14ac:dyDescent="0.3">
      <c r="A33">
        <v>32</v>
      </c>
      <c r="B33" t="s">
        <v>18</v>
      </c>
      <c r="C33" s="3">
        <v>12.72</v>
      </c>
      <c r="D33">
        <v>24</v>
      </c>
      <c r="E33">
        <v>0</v>
      </c>
    </row>
    <row r="34" spans="1:5" x14ac:dyDescent="0.3">
      <c r="A34">
        <v>33</v>
      </c>
      <c r="B34" t="s">
        <v>18</v>
      </c>
      <c r="C34" s="3">
        <v>16.72</v>
      </c>
      <c r="D34">
        <v>13</v>
      </c>
      <c r="E34">
        <v>0</v>
      </c>
    </row>
    <row r="35" spans="1:5" x14ac:dyDescent="0.3">
      <c r="A35">
        <v>34</v>
      </c>
      <c r="B35" t="s">
        <v>18</v>
      </c>
      <c r="C35" s="3">
        <v>16.739999999999998</v>
      </c>
      <c r="D35">
        <v>30</v>
      </c>
      <c r="E35">
        <v>0</v>
      </c>
    </row>
    <row r="36" spans="1:5" x14ac:dyDescent="0.3">
      <c r="A36">
        <v>35</v>
      </c>
      <c r="B36" t="s">
        <v>18</v>
      </c>
      <c r="C36" s="3">
        <v>28.36</v>
      </c>
      <c r="D36">
        <v>31</v>
      </c>
      <c r="E36">
        <v>0</v>
      </c>
    </row>
    <row r="37" spans="1:5" x14ac:dyDescent="0.3">
      <c r="A37">
        <v>36</v>
      </c>
      <c r="B37" t="s">
        <v>18</v>
      </c>
      <c r="C37" s="3">
        <v>33.25</v>
      </c>
      <c r="D37">
        <v>44</v>
      </c>
      <c r="E37">
        <v>1</v>
      </c>
    </row>
    <row r="38" spans="1:5" x14ac:dyDescent="0.3">
      <c r="A38">
        <v>37</v>
      </c>
      <c r="B38" t="s">
        <v>18</v>
      </c>
      <c r="C38" s="3">
        <v>17.52</v>
      </c>
      <c r="D38">
        <v>23</v>
      </c>
      <c r="E38">
        <v>0</v>
      </c>
    </row>
    <row r="39" spans="1:5" x14ac:dyDescent="0.3">
      <c r="A39">
        <v>38</v>
      </c>
      <c r="B39" t="s">
        <v>18</v>
      </c>
      <c r="C39" s="3">
        <v>16.09</v>
      </c>
      <c r="D39">
        <v>30</v>
      </c>
      <c r="E39">
        <v>0</v>
      </c>
    </row>
    <row r="40" spans="1:5" x14ac:dyDescent="0.3">
      <c r="A40">
        <v>39</v>
      </c>
      <c r="B40" t="s">
        <v>18</v>
      </c>
      <c r="C40" s="3">
        <v>18.46</v>
      </c>
      <c r="D40">
        <v>34</v>
      </c>
      <c r="E40">
        <v>0</v>
      </c>
    </row>
    <row r="41" spans="1:5" x14ac:dyDescent="0.3">
      <c r="A41">
        <v>40</v>
      </c>
      <c r="B41" t="s">
        <v>18</v>
      </c>
      <c r="C41" s="3">
        <v>8.33</v>
      </c>
      <c r="D41">
        <v>20</v>
      </c>
      <c r="E41">
        <v>0</v>
      </c>
    </row>
    <row r="42" spans="1:5" x14ac:dyDescent="0.3">
      <c r="A42">
        <v>41</v>
      </c>
      <c r="B42" t="s">
        <v>19</v>
      </c>
      <c r="C42" s="3">
        <v>92.88</v>
      </c>
      <c r="D42">
        <v>48</v>
      </c>
      <c r="E42">
        <v>1</v>
      </c>
    </row>
    <row r="43" spans="1:5" x14ac:dyDescent="0.3">
      <c r="A43">
        <v>42</v>
      </c>
      <c r="B43" t="s">
        <v>19</v>
      </c>
      <c r="C43" s="3">
        <v>50.17</v>
      </c>
      <c r="D43">
        <v>24</v>
      </c>
      <c r="E43">
        <v>1</v>
      </c>
    </row>
    <row r="44" spans="1:5" x14ac:dyDescent="0.3">
      <c r="A44">
        <v>43</v>
      </c>
      <c r="B44" t="s">
        <v>19</v>
      </c>
      <c r="C44" s="3">
        <v>55.88</v>
      </c>
      <c r="D44">
        <v>64</v>
      </c>
      <c r="E44">
        <v>1</v>
      </c>
    </row>
    <row r="45" spans="1:5" x14ac:dyDescent="0.3">
      <c r="A45">
        <v>44</v>
      </c>
      <c r="B45" t="s">
        <v>19</v>
      </c>
      <c r="C45" s="3">
        <v>7.75</v>
      </c>
      <c r="D45">
        <v>29</v>
      </c>
      <c r="E45">
        <v>1</v>
      </c>
    </row>
    <row r="46" spans="1:5" x14ac:dyDescent="0.3">
      <c r="A46">
        <v>45</v>
      </c>
      <c r="B46" t="s">
        <v>19</v>
      </c>
      <c r="C46" s="3">
        <v>8.7200000000000006</v>
      </c>
      <c r="D46">
        <v>16</v>
      </c>
      <c r="E46">
        <v>0</v>
      </c>
    </row>
    <row r="47" spans="1:5" x14ac:dyDescent="0.3">
      <c r="A47">
        <v>46</v>
      </c>
      <c r="B47" t="s">
        <v>19</v>
      </c>
      <c r="C47" s="3">
        <v>26.32</v>
      </c>
      <c r="D47">
        <v>20</v>
      </c>
      <c r="E47">
        <v>1</v>
      </c>
    </row>
    <row r="48" spans="1:5" x14ac:dyDescent="0.3">
      <c r="A48">
        <v>47</v>
      </c>
      <c r="B48" t="s">
        <v>19</v>
      </c>
      <c r="C48" s="3">
        <v>20.83</v>
      </c>
      <c r="D48">
        <v>9</v>
      </c>
      <c r="E48">
        <v>1</v>
      </c>
    </row>
    <row r="49" spans="1:5" x14ac:dyDescent="0.3">
      <c r="A49">
        <v>48</v>
      </c>
      <c r="B49" t="s">
        <v>19</v>
      </c>
      <c r="C49" s="3">
        <v>3.33</v>
      </c>
      <c r="D49">
        <v>24</v>
      </c>
      <c r="E49">
        <v>0</v>
      </c>
    </row>
    <row r="50" spans="1:5" x14ac:dyDescent="0.3">
      <c r="A50">
        <v>49</v>
      </c>
      <c r="B50" t="s">
        <v>19</v>
      </c>
      <c r="C50" s="3">
        <v>91.6</v>
      </c>
      <c r="D50">
        <v>80</v>
      </c>
      <c r="E50">
        <v>1</v>
      </c>
    </row>
    <row r="51" spans="1:5" x14ac:dyDescent="0.3">
      <c r="A51">
        <v>50</v>
      </c>
      <c r="B51" t="s">
        <v>19</v>
      </c>
      <c r="C51" s="3">
        <v>17.27</v>
      </c>
      <c r="D51">
        <v>21</v>
      </c>
      <c r="E51">
        <v>1</v>
      </c>
    </row>
    <row r="52" spans="1:5" x14ac:dyDescent="0.3">
      <c r="A52">
        <v>51</v>
      </c>
      <c r="B52" t="s">
        <v>20</v>
      </c>
      <c r="C52" s="3">
        <v>76.010000000000005</v>
      </c>
      <c r="D52">
        <v>117</v>
      </c>
      <c r="E52">
        <v>1</v>
      </c>
    </row>
    <row r="53" spans="1:5" x14ac:dyDescent="0.3">
      <c r="A53">
        <v>52</v>
      </c>
      <c r="B53" t="s">
        <v>20</v>
      </c>
      <c r="C53" s="3">
        <v>99.1</v>
      </c>
      <c r="D53">
        <v>118</v>
      </c>
      <c r="E53">
        <v>1</v>
      </c>
    </row>
    <row r="54" spans="1:5" x14ac:dyDescent="0.3">
      <c r="A54">
        <v>53</v>
      </c>
      <c r="B54" t="s">
        <v>20</v>
      </c>
      <c r="C54" s="3">
        <v>4.53</v>
      </c>
      <c r="D54">
        <v>6</v>
      </c>
      <c r="E54">
        <v>1</v>
      </c>
    </row>
    <row r="55" spans="1:5" x14ac:dyDescent="0.3">
      <c r="A55">
        <v>54</v>
      </c>
      <c r="B55" t="s">
        <v>20</v>
      </c>
      <c r="C55" s="3">
        <v>12.24</v>
      </c>
      <c r="D55">
        <v>1</v>
      </c>
      <c r="E55">
        <v>0</v>
      </c>
    </row>
    <row r="56" spans="1:5" x14ac:dyDescent="0.3">
      <c r="A56">
        <v>55</v>
      </c>
      <c r="B56" t="s">
        <v>20</v>
      </c>
      <c r="C56" s="3">
        <v>26.61</v>
      </c>
      <c r="D56">
        <v>11</v>
      </c>
      <c r="E56">
        <v>0</v>
      </c>
    </row>
    <row r="57" spans="1:5" x14ac:dyDescent="0.3">
      <c r="A57">
        <v>56</v>
      </c>
      <c r="B57" t="s">
        <v>20</v>
      </c>
      <c r="C57" s="3">
        <v>51.27</v>
      </c>
      <c r="D57">
        <v>52</v>
      </c>
      <c r="E57">
        <v>1</v>
      </c>
    </row>
    <row r="58" spans="1:5" x14ac:dyDescent="0.3">
      <c r="A58">
        <v>57</v>
      </c>
      <c r="B58" t="s">
        <v>20</v>
      </c>
      <c r="C58" s="3">
        <v>9.32</v>
      </c>
      <c r="D58">
        <v>29</v>
      </c>
      <c r="E58">
        <v>1</v>
      </c>
    </row>
    <row r="59" spans="1:5" x14ac:dyDescent="0.3">
      <c r="A59">
        <v>58</v>
      </c>
      <c r="B59" t="s">
        <v>20</v>
      </c>
      <c r="C59" s="3">
        <v>28.66</v>
      </c>
      <c r="D59">
        <v>5</v>
      </c>
      <c r="E59">
        <v>0</v>
      </c>
    </row>
    <row r="60" spans="1:5" x14ac:dyDescent="0.3">
      <c r="A60">
        <v>59</v>
      </c>
      <c r="B60" t="s">
        <v>20</v>
      </c>
      <c r="C60" s="3">
        <v>114.47</v>
      </c>
      <c r="D60">
        <v>123</v>
      </c>
      <c r="E60">
        <v>1</v>
      </c>
    </row>
    <row r="61" spans="1:5" x14ac:dyDescent="0.3">
      <c r="A61">
        <v>60</v>
      </c>
      <c r="B61" t="s">
        <v>20</v>
      </c>
      <c r="C61" s="3">
        <v>11.36</v>
      </c>
      <c r="D61">
        <v>11</v>
      </c>
      <c r="E61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38A91-3007-4686-BC22-A53DD7750008}">
  <sheetPr codeName="Sheet5"/>
  <dimension ref="A1:E201"/>
  <sheetViews>
    <sheetView workbookViewId="0">
      <selection activeCell="T6" sqref="T6"/>
    </sheetView>
  </sheetViews>
  <sheetFormatPr baseColWidth="10" defaultColWidth="8.88671875" defaultRowHeight="14.4" x14ac:dyDescent="0.3"/>
  <sheetData>
    <row r="1" spans="1:5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>
        <v>1</v>
      </c>
      <c r="B2">
        <v>1935</v>
      </c>
      <c r="C2">
        <v>317.60000000000002</v>
      </c>
      <c r="D2">
        <v>3078.5</v>
      </c>
      <c r="E2">
        <v>2.8</v>
      </c>
    </row>
    <row r="3" spans="1:5" x14ac:dyDescent="0.3">
      <c r="A3">
        <v>1</v>
      </c>
      <c r="B3">
        <v>1936</v>
      </c>
      <c r="C3">
        <v>391.8</v>
      </c>
      <c r="D3">
        <v>4661.7</v>
      </c>
      <c r="E3">
        <v>52.6</v>
      </c>
    </row>
    <row r="4" spans="1:5" x14ac:dyDescent="0.3">
      <c r="A4">
        <v>1</v>
      </c>
      <c r="B4">
        <v>1937</v>
      </c>
      <c r="C4">
        <v>410.6</v>
      </c>
      <c r="D4">
        <v>5387.1</v>
      </c>
      <c r="E4">
        <v>156.9</v>
      </c>
    </row>
    <row r="5" spans="1:5" x14ac:dyDescent="0.3">
      <c r="A5">
        <v>1</v>
      </c>
      <c r="B5">
        <v>1938</v>
      </c>
      <c r="C5">
        <v>257.7</v>
      </c>
      <c r="D5">
        <v>2792.2</v>
      </c>
      <c r="E5">
        <v>209.2</v>
      </c>
    </row>
    <row r="6" spans="1:5" x14ac:dyDescent="0.3">
      <c r="A6">
        <v>1</v>
      </c>
      <c r="B6">
        <v>1939</v>
      </c>
      <c r="C6">
        <v>330.8</v>
      </c>
      <c r="D6">
        <v>4313.2</v>
      </c>
      <c r="E6">
        <v>203.4</v>
      </c>
    </row>
    <row r="7" spans="1:5" x14ac:dyDescent="0.3">
      <c r="A7">
        <v>1</v>
      </c>
      <c r="B7">
        <v>1940</v>
      </c>
      <c r="C7">
        <v>461.2</v>
      </c>
      <c r="D7">
        <v>4643.8999999999996</v>
      </c>
      <c r="E7">
        <v>207.2</v>
      </c>
    </row>
    <row r="8" spans="1:5" x14ac:dyDescent="0.3">
      <c r="A8">
        <v>1</v>
      </c>
      <c r="B8">
        <v>1941</v>
      </c>
      <c r="C8">
        <v>512</v>
      </c>
      <c r="D8">
        <v>4551.2</v>
      </c>
      <c r="E8">
        <v>255.2</v>
      </c>
    </row>
    <row r="9" spans="1:5" x14ac:dyDescent="0.3">
      <c r="A9">
        <v>1</v>
      </c>
      <c r="B9">
        <v>1942</v>
      </c>
      <c r="C9">
        <v>448</v>
      </c>
      <c r="D9">
        <v>3244.1</v>
      </c>
      <c r="E9">
        <v>303.7</v>
      </c>
    </row>
    <row r="10" spans="1:5" x14ac:dyDescent="0.3">
      <c r="A10">
        <v>1</v>
      </c>
      <c r="B10">
        <v>1943</v>
      </c>
      <c r="C10">
        <v>499.6</v>
      </c>
      <c r="D10">
        <v>4053.7</v>
      </c>
      <c r="E10">
        <v>264.10000000000002</v>
      </c>
    </row>
    <row r="11" spans="1:5" x14ac:dyDescent="0.3">
      <c r="A11">
        <v>1</v>
      </c>
      <c r="B11">
        <v>1944</v>
      </c>
      <c r="C11">
        <v>547.5</v>
      </c>
      <c r="D11">
        <v>4379.3</v>
      </c>
      <c r="E11">
        <v>201.6</v>
      </c>
    </row>
    <row r="12" spans="1:5" x14ac:dyDescent="0.3">
      <c r="A12">
        <v>1</v>
      </c>
      <c r="B12">
        <v>1945</v>
      </c>
      <c r="C12">
        <v>561.20000000000005</v>
      </c>
      <c r="D12">
        <v>4840.8999999999996</v>
      </c>
      <c r="E12">
        <v>265</v>
      </c>
    </row>
    <row r="13" spans="1:5" x14ac:dyDescent="0.3">
      <c r="A13">
        <v>1</v>
      </c>
      <c r="B13">
        <v>1946</v>
      </c>
      <c r="C13">
        <v>688.1</v>
      </c>
      <c r="D13">
        <v>4900.8999999999996</v>
      </c>
      <c r="E13">
        <v>402.2</v>
      </c>
    </row>
    <row r="14" spans="1:5" x14ac:dyDescent="0.3">
      <c r="A14">
        <v>1</v>
      </c>
      <c r="B14">
        <v>1947</v>
      </c>
      <c r="C14">
        <v>568.9</v>
      </c>
      <c r="D14">
        <v>3526.5</v>
      </c>
      <c r="E14">
        <v>761.5</v>
      </c>
    </row>
    <row r="15" spans="1:5" x14ac:dyDescent="0.3">
      <c r="A15">
        <v>1</v>
      </c>
      <c r="B15">
        <v>1948</v>
      </c>
      <c r="C15">
        <v>529.20000000000005</v>
      </c>
      <c r="D15">
        <v>3254.7</v>
      </c>
      <c r="E15">
        <v>922.4</v>
      </c>
    </row>
    <row r="16" spans="1:5" x14ac:dyDescent="0.3">
      <c r="A16">
        <v>1</v>
      </c>
      <c r="B16">
        <v>1949</v>
      </c>
      <c r="C16">
        <v>555.1</v>
      </c>
      <c r="D16">
        <v>3700.2</v>
      </c>
      <c r="E16">
        <v>1020.1</v>
      </c>
    </row>
    <row r="17" spans="1:5" x14ac:dyDescent="0.3">
      <c r="A17">
        <v>1</v>
      </c>
      <c r="B17">
        <v>1950</v>
      </c>
      <c r="C17">
        <v>642.9</v>
      </c>
      <c r="D17">
        <v>3755.6</v>
      </c>
      <c r="E17">
        <v>1099</v>
      </c>
    </row>
    <row r="18" spans="1:5" x14ac:dyDescent="0.3">
      <c r="A18">
        <v>1</v>
      </c>
      <c r="B18">
        <v>1951</v>
      </c>
      <c r="C18">
        <v>755.9</v>
      </c>
      <c r="D18">
        <v>4833</v>
      </c>
      <c r="E18">
        <v>1207.7</v>
      </c>
    </row>
    <row r="19" spans="1:5" x14ac:dyDescent="0.3">
      <c r="A19">
        <v>1</v>
      </c>
      <c r="B19">
        <v>1952</v>
      </c>
      <c r="C19">
        <v>891.2</v>
      </c>
      <c r="D19">
        <v>4924.8999999999996</v>
      </c>
      <c r="E19">
        <v>1430.5</v>
      </c>
    </row>
    <row r="20" spans="1:5" x14ac:dyDescent="0.3">
      <c r="A20">
        <v>1</v>
      </c>
      <c r="B20">
        <v>1953</v>
      </c>
      <c r="C20">
        <v>1304.4000000000001</v>
      </c>
      <c r="D20">
        <v>6241.7</v>
      </c>
      <c r="E20">
        <v>1777.3</v>
      </c>
    </row>
    <row r="21" spans="1:5" x14ac:dyDescent="0.3">
      <c r="A21">
        <v>1</v>
      </c>
      <c r="B21">
        <v>1954</v>
      </c>
      <c r="C21">
        <v>1486.7</v>
      </c>
      <c r="D21">
        <v>5593.6</v>
      </c>
      <c r="E21">
        <v>2226.3000000000002</v>
      </c>
    </row>
    <row r="22" spans="1:5" x14ac:dyDescent="0.3">
      <c r="A22">
        <v>2</v>
      </c>
      <c r="B22">
        <v>1935</v>
      </c>
      <c r="C22">
        <v>209.9</v>
      </c>
      <c r="D22">
        <v>1362.4</v>
      </c>
      <c r="E22">
        <v>53.8</v>
      </c>
    </row>
    <row r="23" spans="1:5" x14ac:dyDescent="0.3">
      <c r="A23">
        <v>2</v>
      </c>
      <c r="B23">
        <v>1936</v>
      </c>
      <c r="C23">
        <v>355.3</v>
      </c>
      <c r="D23">
        <v>1807.1</v>
      </c>
      <c r="E23">
        <v>50.5</v>
      </c>
    </row>
    <row r="24" spans="1:5" x14ac:dyDescent="0.3">
      <c r="A24">
        <v>2</v>
      </c>
      <c r="B24">
        <v>1937</v>
      </c>
      <c r="C24">
        <v>469.9</v>
      </c>
      <c r="D24">
        <v>2676.3</v>
      </c>
      <c r="E24">
        <v>118.1</v>
      </c>
    </row>
    <row r="25" spans="1:5" x14ac:dyDescent="0.3">
      <c r="A25">
        <v>2</v>
      </c>
      <c r="B25">
        <v>1938</v>
      </c>
      <c r="C25">
        <v>262.3</v>
      </c>
      <c r="D25">
        <v>1801.9</v>
      </c>
      <c r="E25">
        <v>260.2</v>
      </c>
    </row>
    <row r="26" spans="1:5" x14ac:dyDescent="0.3">
      <c r="A26">
        <v>2</v>
      </c>
      <c r="B26">
        <v>1939</v>
      </c>
      <c r="C26">
        <v>230.4</v>
      </c>
      <c r="D26">
        <v>1957.3</v>
      </c>
      <c r="E26">
        <v>312.7</v>
      </c>
    </row>
    <row r="27" spans="1:5" x14ac:dyDescent="0.3">
      <c r="A27">
        <v>2</v>
      </c>
      <c r="B27">
        <v>1940</v>
      </c>
      <c r="C27">
        <v>361.6</v>
      </c>
      <c r="D27">
        <v>2202.9</v>
      </c>
      <c r="E27">
        <v>254.2</v>
      </c>
    </row>
    <row r="28" spans="1:5" x14ac:dyDescent="0.3">
      <c r="A28">
        <v>2</v>
      </c>
      <c r="B28">
        <v>1941</v>
      </c>
      <c r="C28">
        <v>472.8</v>
      </c>
      <c r="D28">
        <v>2380.5</v>
      </c>
      <c r="E28">
        <v>261.39999999999998</v>
      </c>
    </row>
    <row r="29" spans="1:5" x14ac:dyDescent="0.3">
      <c r="A29">
        <v>2</v>
      </c>
      <c r="B29">
        <v>1942</v>
      </c>
      <c r="C29">
        <v>445.6</v>
      </c>
      <c r="D29">
        <v>2168.6</v>
      </c>
      <c r="E29">
        <v>298.7</v>
      </c>
    </row>
    <row r="30" spans="1:5" x14ac:dyDescent="0.3">
      <c r="A30">
        <v>2</v>
      </c>
      <c r="B30">
        <v>1943</v>
      </c>
      <c r="C30">
        <v>361.6</v>
      </c>
      <c r="D30">
        <v>1985.1</v>
      </c>
      <c r="E30">
        <v>301.8</v>
      </c>
    </row>
    <row r="31" spans="1:5" x14ac:dyDescent="0.3">
      <c r="A31">
        <v>2</v>
      </c>
      <c r="B31">
        <v>1944</v>
      </c>
      <c r="C31">
        <v>288.2</v>
      </c>
      <c r="D31">
        <v>1813.9</v>
      </c>
      <c r="E31">
        <v>279.10000000000002</v>
      </c>
    </row>
    <row r="32" spans="1:5" x14ac:dyDescent="0.3">
      <c r="A32">
        <v>2</v>
      </c>
      <c r="B32">
        <v>1945</v>
      </c>
      <c r="C32">
        <v>258.7</v>
      </c>
      <c r="D32">
        <v>1850.2</v>
      </c>
      <c r="E32">
        <v>213.8</v>
      </c>
    </row>
    <row r="33" spans="1:5" x14ac:dyDescent="0.3">
      <c r="A33">
        <v>2</v>
      </c>
      <c r="B33">
        <v>1946</v>
      </c>
      <c r="C33">
        <v>420.3</v>
      </c>
      <c r="D33">
        <v>2067.6999999999998</v>
      </c>
      <c r="E33">
        <v>132.6</v>
      </c>
    </row>
    <row r="34" spans="1:5" x14ac:dyDescent="0.3">
      <c r="A34">
        <v>2</v>
      </c>
      <c r="B34">
        <v>1947</v>
      </c>
      <c r="C34">
        <v>420.5</v>
      </c>
      <c r="D34">
        <v>1796.7</v>
      </c>
      <c r="E34">
        <v>264.8</v>
      </c>
    </row>
    <row r="35" spans="1:5" x14ac:dyDescent="0.3">
      <c r="A35">
        <v>2</v>
      </c>
      <c r="B35">
        <v>1948</v>
      </c>
      <c r="C35">
        <v>494.5</v>
      </c>
      <c r="D35">
        <v>1625.8</v>
      </c>
      <c r="E35">
        <v>306.89999999999998</v>
      </c>
    </row>
    <row r="36" spans="1:5" x14ac:dyDescent="0.3">
      <c r="A36">
        <v>2</v>
      </c>
      <c r="B36">
        <v>1949</v>
      </c>
      <c r="C36">
        <v>405.1</v>
      </c>
      <c r="D36">
        <v>1667</v>
      </c>
      <c r="E36">
        <v>351.1</v>
      </c>
    </row>
    <row r="37" spans="1:5" x14ac:dyDescent="0.3">
      <c r="A37">
        <v>2</v>
      </c>
      <c r="B37">
        <v>1950</v>
      </c>
      <c r="C37">
        <v>418.8</v>
      </c>
      <c r="D37">
        <v>1677.4</v>
      </c>
      <c r="E37">
        <v>357.8</v>
      </c>
    </row>
    <row r="38" spans="1:5" x14ac:dyDescent="0.3">
      <c r="A38">
        <v>2</v>
      </c>
      <c r="B38">
        <v>1951</v>
      </c>
      <c r="C38">
        <v>588.20000000000005</v>
      </c>
      <c r="D38">
        <v>2289.5</v>
      </c>
      <c r="E38">
        <v>342.1</v>
      </c>
    </row>
    <row r="39" spans="1:5" x14ac:dyDescent="0.3">
      <c r="A39">
        <v>2</v>
      </c>
      <c r="B39">
        <v>1952</v>
      </c>
      <c r="C39">
        <v>645.5</v>
      </c>
      <c r="D39">
        <v>2159.4</v>
      </c>
      <c r="E39">
        <v>444.2</v>
      </c>
    </row>
    <row r="40" spans="1:5" x14ac:dyDescent="0.3">
      <c r="A40">
        <v>2</v>
      </c>
      <c r="B40">
        <v>1953</v>
      </c>
      <c r="C40">
        <v>641</v>
      </c>
      <c r="D40">
        <v>2031.3</v>
      </c>
      <c r="E40">
        <v>623.6</v>
      </c>
    </row>
    <row r="41" spans="1:5" x14ac:dyDescent="0.3">
      <c r="A41">
        <v>2</v>
      </c>
      <c r="B41">
        <v>1954</v>
      </c>
      <c r="C41">
        <v>459.3</v>
      </c>
      <c r="D41">
        <v>2115.5</v>
      </c>
      <c r="E41">
        <v>669.7</v>
      </c>
    </row>
    <row r="42" spans="1:5" x14ac:dyDescent="0.3">
      <c r="A42">
        <v>3</v>
      </c>
      <c r="B42">
        <v>1935</v>
      </c>
      <c r="C42">
        <v>33.1</v>
      </c>
      <c r="D42">
        <v>1170.5999999999999</v>
      </c>
      <c r="E42">
        <v>97.8</v>
      </c>
    </row>
    <row r="43" spans="1:5" x14ac:dyDescent="0.3">
      <c r="A43">
        <v>3</v>
      </c>
      <c r="B43">
        <v>1936</v>
      </c>
      <c r="C43">
        <v>45</v>
      </c>
      <c r="D43">
        <v>2015.8</v>
      </c>
      <c r="E43">
        <v>104.4</v>
      </c>
    </row>
    <row r="44" spans="1:5" x14ac:dyDescent="0.3">
      <c r="A44">
        <v>3</v>
      </c>
      <c r="B44">
        <v>1937</v>
      </c>
      <c r="C44">
        <v>77.2</v>
      </c>
      <c r="D44">
        <v>2803.3</v>
      </c>
      <c r="E44">
        <v>118</v>
      </c>
    </row>
    <row r="45" spans="1:5" x14ac:dyDescent="0.3">
      <c r="A45">
        <v>3</v>
      </c>
      <c r="B45">
        <v>1938</v>
      </c>
      <c r="C45">
        <v>44.6</v>
      </c>
      <c r="D45">
        <v>2039.7</v>
      </c>
      <c r="E45">
        <v>156.19999999999999</v>
      </c>
    </row>
    <row r="46" spans="1:5" x14ac:dyDescent="0.3">
      <c r="A46">
        <v>3</v>
      </c>
      <c r="B46">
        <v>1939</v>
      </c>
      <c r="C46">
        <v>48.1</v>
      </c>
      <c r="D46">
        <v>2256.1999999999998</v>
      </c>
      <c r="E46">
        <v>172.6</v>
      </c>
    </row>
    <row r="47" spans="1:5" x14ac:dyDescent="0.3">
      <c r="A47">
        <v>3</v>
      </c>
      <c r="B47">
        <v>1940</v>
      </c>
      <c r="C47">
        <v>74.400000000000006</v>
      </c>
      <c r="D47">
        <v>2132.1999999999998</v>
      </c>
      <c r="E47">
        <v>186.6</v>
      </c>
    </row>
    <row r="48" spans="1:5" x14ac:dyDescent="0.3">
      <c r="A48">
        <v>3</v>
      </c>
      <c r="B48">
        <v>1941</v>
      </c>
      <c r="C48">
        <v>113</v>
      </c>
      <c r="D48">
        <v>1834.1</v>
      </c>
      <c r="E48">
        <v>220.9</v>
      </c>
    </row>
    <row r="49" spans="1:5" x14ac:dyDescent="0.3">
      <c r="A49">
        <v>3</v>
      </c>
      <c r="B49">
        <v>1942</v>
      </c>
      <c r="C49">
        <v>91.9</v>
      </c>
      <c r="D49">
        <v>1588</v>
      </c>
      <c r="E49">
        <v>287.8</v>
      </c>
    </row>
    <row r="50" spans="1:5" x14ac:dyDescent="0.3">
      <c r="A50">
        <v>3</v>
      </c>
      <c r="B50">
        <v>1943</v>
      </c>
      <c r="C50">
        <v>61.3</v>
      </c>
      <c r="D50">
        <v>1749.4</v>
      </c>
      <c r="E50">
        <v>319.89999999999998</v>
      </c>
    </row>
    <row r="51" spans="1:5" x14ac:dyDescent="0.3">
      <c r="A51">
        <v>3</v>
      </c>
      <c r="B51">
        <v>1944</v>
      </c>
      <c r="C51">
        <v>56.8</v>
      </c>
      <c r="D51">
        <v>1687.2</v>
      </c>
      <c r="E51">
        <v>321.3</v>
      </c>
    </row>
    <row r="52" spans="1:5" x14ac:dyDescent="0.3">
      <c r="A52">
        <v>3</v>
      </c>
      <c r="B52">
        <v>1945</v>
      </c>
      <c r="C52">
        <v>93.6</v>
      </c>
      <c r="D52">
        <v>2007.7</v>
      </c>
      <c r="E52">
        <v>319.60000000000002</v>
      </c>
    </row>
    <row r="53" spans="1:5" x14ac:dyDescent="0.3">
      <c r="A53">
        <v>3</v>
      </c>
      <c r="B53">
        <v>1946</v>
      </c>
      <c r="C53">
        <v>159.9</v>
      </c>
      <c r="D53">
        <v>2208.3000000000002</v>
      </c>
      <c r="E53">
        <v>346</v>
      </c>
    </row>
    <row r="54" spans="1:5" x14ac:dyDescent="0.3">
      <c r="A54">
        <v>3</v>
      </c>
      <c r="B54">
        <v>1947</v>
      </c>
      <c r="C54">
        <v>147.19999999999999</v>
      </c>
      <c r="D54">
        <v>1656.7</v>
      </c>
      <c r="E54">
        <v>456.4</v>
      </c>
    </row>
    <row r="55" spans="1:5" x14ac:dyDescent="0.3">
      <c r="A55">
        <v>3</v>
      </c>
      <c r="B55">
        <v>1948</v>
      </c>
      <c r="C55">
        <v>146.30000000000001</v>
      </c>
      <c r="D55">
        <v>1604.4</v>
      </c>
      <c r="E55">
        <v>543.4</v>
      </c>
    </row>
    <row r="56" spans="1:5" x14ac:dyDescent="0.3">
      <c r="A56">
        <v>3</v>
      </c>
      <c r="B56">
        <v>1949</v>
      </c>
      <c r="C56">
        <v>98.3</v>
      </c>
      <c r="D56">
        <v>1431.8</v>
      </c>
      <c r="E56">
        <v>618.29999999999995</v>
      </c>
    </row>
    <row r="57" spans="1:5" x14ac:dyDescent="0.3">
      <c r="A57">
        <v>3</v>
      </c>
      <c r="B57">
        <v>1950</v>
      </c>
      <c r="C57">
        <v>93.5</v>
      </c>
      <c r="D57">
        <v>1610.5</v>
      </c>
      <c r="E57">
        <v>647.4</v>
      </c>
    </row>
    <row r="58" spans="1:5" x14ac:dyDescent="0.3">
      <c r="A58">
        <v>3</v>
      </c>
      <c r="B58">
        <v>1951</v>
      </c>
      <c r="C58">
        <v>135.19999999999999</v>
      </c>
      <c r="D58">
        <v>1819.4</v>
      </c>
      <c r="E58">
        <v>671.3</v>
      </c>
    </row>
    <row r="59" spans="1:5" x14ac:dyDescent="0.3">
      <c r="A59">
        <v>3</v>
      </c>
      <c r="B59">
        <v>1952</v>
      </c>
      <c r="C59">
        <v>157.30000000000001</v>
      </c>
      <c r="D59">
        <v>2079.6999999999998</v>
      </c>
      <c r="E59">
        <v>726.1</v>
      </c>
    </row>
    <row r="60" spans="1:5" x14ac:dyDescent="0.3">
      <c r="A60">
        <v>3</v>
      </c>
      <c r="B60">
        <v>1953</v>
      </c>
      <c r="C60">
        <v>179.5</v>
      </c>
      <c r="D60">
        <v>2371.6</v>
      </c>
      <c r="E60">
        <v>800.3</v>
      </c>
    </row>
    <row r="61" spans="1:5" x14ac:dyDescent="0.3">
      <c r="A61">
        <v>3</v>
      </c>
      <c r="B61">
        <v>1954</v>
      </c>
      <c r="C61">
        <v>189.6</v>
      </c>
      <c r="D61">
        <v>2759.9</v>
      </c>
      <c r="E61">
        <v>888.9</v>
      </c>
    </row>
    <row r="62" spans="1:5" x14ac:dyDescent="0.3">
      <c r="A62">
        <v>4</v>
      </c>
      <c r="B62">
        <v>1935</v>
      </c>
      <c r="C62">
        <v>40.29</v>
      </c>
      <c r="D62">
        <v>417.5</v>
      </c>
      <c r="E62">
        <v>10.5</v>
      </c>
    </row>
    <row r="63" spans="1:5" x14ac:dyDescent="0.3">
      <c r="A63">
        <v>4</v>
      </c>
      <c r="B63">
        <v>1936</v>
      </c>
      <c r="C63">
        <v>72.760000000000005</v>
      </c>
      <c r="D63">
        <v>837.8</v>
      </c>
      <c r="E63">
        <v>10.199999999999999</v>
      </c>
    </row>
    <row r="64" spans="1:5" x14ac:dyDescent="0.3">
      <c r="A64">
        <v>4</v>
      </c>
      <c r="B64">
        <v>1937</v>
      </c>
      <c r="C64">
        <v>66.260000000000005</v>
      </c>
      <c r="D64">
        <v>883.9</v>
      </c>
      <c r="E64">
        <v>34.700000000000003</v>
      </c>
    </row>
    <row r="65" spans="1:5" x14ac:dyDescent="0.3">
      <c r="A65">
        <v>4</v>
      </c>
      <c r="B65">
        <v>1938</v>
      </c>
      <c r="C65">
        <v>51.6</v>
      </c>
      <c r="D65">
        <v>437.9</v>
      </c>
      <c r="E65">
        <v>51.8</v>
      </c>
    </row>
    <row r="66" spans="1:5" x14ac:dyDescent="0.3">
      <c r="A66">
        <v>4</v>
      </c>
      <c r="B66">
        <v>1939</v>
      </c>
      <c r="C66">
        <v>52.41</v>
      </c>
      <c r="D66">
        <v>679.7</v>
      </c>
      <c r="E66">
        <v>64.3</v>
      </c>
    </row>
    <row r="67" spans="1:5" x14ac:dyDescent="0.3">
      <c r="A67">
        <v>4</v>
      </c>
      <c r="B67">
        <v>1940</v>
      </c>
      <c r="C67">
        <v>69.41</v>
      </c>
      <c r="D67">
        <v>727.8</v>
      </c>
      <c r="E67">
        <v>67.099999999999994</v>
      </c>
    </row>
    <row r="68" spans="1:5" x14ac:dyDescent="0.3">
      <c r="A68">
        <v>4</v>
      </c>
      <c r="B68">
        <v>1941</v>
      </c>
      <c r="C68">
        <v>68.349999999999994</v>
      </c>
      <c r="D68">
        <v>643.6</v>
      </c>
      <c r="E68">
        <v>75.2</v>
      </c>
    </row>
    <row r="69" spans="1:5" x14ac:dyDescent="0.3">
      <c r="A69">
        <v>4</v>
      </c>
      <c r="B69">
        <v>1942</v>
      </c>
      <c r="C69">
        <v>46.8</v>
      </c>
      <c r="D69">
        <v>410.9</v>
      </c>
      <c r="E69">
        <v>71.400000000000006</v>
      </c>
    </row>
    <row r="70" spans="1:5" x14ac:dyDescent="0.3">
      <c r="A70">
        <v>4</v>
      </c>
      <c r="B70">
        <v>1943</v>
      </c>
      <c r="C70">
        <v>47.4</v>
      </c>
      <c r="D70">
        <v>588.4</v>
      </c>
      <c r="E70">
        <v>67.099999999999994</v>
      </c>
    </row>
    <row r="71" spans="1:5" x14ac:dyDescent="0.3">
      <c r="A71">
        <v>4</v>
      </c>
      <c r="B71">
        <v>1944</v>
      </c>
      <c r="C71">
        <v>59.57</v>
      </c>
      <c r="D71">
        <v>698.4</v>
      </c>
      <c r="E71">
        <v>60.5</v>
      </c>
    </row>
    <row r="72" spans="1:5" x14ac:dyDescent="0.3">
      <c r="A72">
        <v>4</v>
      </c>
      <c r="B72">
        <v>1945</v>
      </c>
      <c r="C72">
        <v>88.78</v>
      </c>
      <c r="D72">
        <v>846.4</v>
      </c>
      <c r="E72">
        <v>54.6</v>
      </c>
    </row>
    <row r="73" spans="1:5" x14ac:dyDescent="0.3">
      <c r="A73">
        <v>4</v>
      </c>
      <c r="B73">
        <v>1946</v>
      </c>
      <c r="C73">
        <v>74.12</v>
      </c>
      <c r="D73">
        <v>893.8</v>
      </c>
      <c r="E73">
        <v>84.8</v>
      </c>
    </row>
    <row r="74" spans="1:5" x14ac:dyDescent="0.3">
      <c r="A74">
        <v>4</v>
      </c>
      <c r="B74">
        <v>1947</v>
      </c>
      <c r="C74">
        <v>62.68</v>
      </c>
      <c r="D74">
        <v>579</v>
      </c>
      <c r="E74">
        <v>96.8</v>
      </c>
    </row>
    <row r="75" spans="1:5" x14ac:dyDescent="0.3">
      <c r="A75">
        <v>4</v>
      </c>
      <c r="B75">
        <v>1948</v>
      </c>
      <c r="C75">
        <v>89.36</v>
      </c>
      <c r="D75">
        <v>694.6</v>
      </c>
      <c r="E75">
        <v>110.2</v>
      </c>
    </row>
    <row r="76" spans="1:5" x14ac:dyDescent="0.3">
      <c r="A76">
        <v>4</v>
      </c>
      <c r="B76">
        <v>1949</v>
      </c>
      <c r="C76">
        <v>78.98</v>
      </c>
      <c r="D76">
        <v>590.29999999999995</v>
      </c>
      <c r="E76">
        <v>147.4</v>
      </c>
    </row>
    <row r="77" spans="1:5" x14ac:dyDescent="0.3">
      <c r="A77">
        <v>4</v>
      </c>
      <c r="B77">
        <v>1950</v>
      </c>
      <c r="C77">
        <v>100.66</v>
      </c>
      <c r="D77">
        <v>693.5</v>
      </c>
      <c r="E77">
        <v>163.19999999999999</v>
      </c>
    </row>
    <row r="78" spans="1:5" x14ac:dyDescent="0.3">
      <c r="A78">
        <v>4</v>
      </c>
      <c r="B78">
        <v>1951</v>
      </c>
      <c r="C78">
        <v>160.62</v>
      </c>
      <c r="D78">
        <v>809</v>
      </c>
      <c r="E78">
        <v>203.5</v>
      </c>
    </row>
    <row r="79" spans="1:5" x14ac:dyDescent="0.3">
      <c r="A79">
        <v>4</v>
      </c>
      <c r="B79">
        <v>1952</v>
      </c>
      <c r="C79">
        <v>145</v>
      </c>
      <c r="D79">
        <v>727</v>
      </c>
      <c r="E79">
        <v>290.60000000000002</v>
      </c>
    </row>
    <row r="80" spans="1:5" x14ac:dyDescent="0.3">
      <c r="A80">
        <v>4</v>
      </c>
      <c r="B80">
        <v>1953</v>
      </c>
      <c r="C80">
        <v>174.93</v>
      </c>
      <c r="D80">
        <v>1001.5</v>
      </c>
      <c r="E80">
        <v>346.1</v>
      </c>
    </row>
    <row r="81" spans="1:5" x14ac:dyDescent="0.3">
      <c r="A81">
        <v>4</v>
      </c>
      <c r="B81">
        <v>1954</v>
      </c>
      <c r="C81">
        <v>172.49</v>
      </c>
      <c r="D81">
        <v>703.2</v>
      </c>
      <c r="E81">
        <v>414.9</v>
      </c>
    </row>
    <row r="82" spans="1:5" x14ac:dyDescent="0.3">
      <c r="A82">
        <v>5</v>
      </c>
      <c r="B82">
        <v>1935</v>
      </c>
      <c r="C82">
        <v>39.68</v>
      </c>
      <c r="D82">
        <v>157.69999999999999</v>
      </c>
      <c r="E82">
        <v>183.2</v>
      </c>
    </row>
    <row r="83" spans="1:5" x14ac:dyDescent="0.3">
      <c r="A83">
        <v>5</v>
      </c>
      <c r="B83">
        <v>1936</v>
      </c>
      <c r="C83">
        <v>50.73</v>
      </c>
      <c r="D83">
        <v>167.9</v>
      </c>
      <c r="E83">
        <v>204</v>
      </c>
    </row>
    <row r="84" spans="1:5" x14ac:dyDescent="0.3">
      <c r="A84">
        <v>5</v>
      </c>
      <c r="B84">
        <v>1937</v>
      </c>
      <c r="C84">
        <v>74.239999999999995</v>
      </c>
      <c r="D84">
        <v>192.9</v>
      </c>
      <c r="E84">
        <v>236</v>
      </c>
    </row>
    <row r="85" spans="1:5" x14ac:dyDescent="0.3">
      <c r="A85">
        <v>5</v>
      </c>
      <c r="B85">
        <v>1938</v>
      </c>
      <c r="C85">
        <v>53.51</v>
      </c>
      <c r="D85">
        <v>156.69999999999999</v>
      </c>
      <c r="E85">
        <v>291.7</v>
      </c>
    </row>
    <row r="86" spans="1:5" x14ac:dyDescent="0.3">
      <c r="A86">
        <v>5</v>
      </c>
      <c r="B86">
        <v>1939</v>
      </c>
      <c r="C86">
        <v>42.65</v>
      </c>
      <c r="D86">
        <v>191.4</v>
      </c>
      <c r="E86">
        <v>323.10000000000002</v>
      </c>
    </row>
    <row r="87" spans="1:5" x14ac:dyDescent="0.3">
      <c r="A87">
        <v>5</v>
      </c>
      <c r="B87">
        <v>1940</v>
      </c>
      <c r="C87">
        <v>46.48</v>
      </c>
      <c r="D87">
        <v>185.5</v>
      </c>
      <c r="E87">
        <v>344</v>
      </c>
    </row>
    <row r="88" spans="1:5" x14ac:dyDescent="0.3">
      <c r="A88">
        <v>5</v>
      </c>
      <c r="B88">
        <v>1941</v>
      </c>
      <c r="C88">
        <v>61.4</v>
      </c>
      <c r="D88">
        <v>199.6</v>
      </c>
      <c r="E88">
        <v>367.7</v>
      </c>
    </row>
    <row r="89" spans="1:5" x14ac:dyDescent="0.3">
      <c r="A89">
        <v>5</v>
      </c>
      <c r="B89">
        <v>1942</v>
      </c>
      <c r="C89">
        <v>39.67</v>
      </c>
      <c r="D89">
        <v>189.5</v>
      </c>
      <c r="E89">
        <v>407.2</v>
      </c>
    </row>
    <row r="90" spans="1:5" x14ac:dyDescent="0.3">
      <c r="A90">
        <v>5</v>
      </c>
      <c r="B90">
        <v>1943</v>
      </c>
      <c r="C90">
        <v>62.24</v>
      </c>
      <c r="D90">
        <v>151.19999999999999</v>
      </c>
      <c r="E90">
        <v>426.6</v>
      </c>
    </row>
    <row r="91" spans="1:5" x14ac:dyDescent="0.3">
      <c r="A91">
        <v>5</v>
      </c>
      <c r="B91">
        <v>1944</v>
      </c>
      <c r="C91">
        <v>52.32</v>
      </c>
      <c r="D91">
        <v>187.7</v>
      </c>
      <c r="E91">
        <v>470</v>
      </c>
    </row>
    <row r="92" spans="1:5" x14ac:dyDescent="0.3">
      <c r="A92">
        <v>5</v>
      </c>
      <c r="B92">
        <v>1945</v>
      </c>
      <c r="C92">
        <v>63.21</v>
      </c>
      <c r="D92">
        <v>214.7</v>
      </c>
      <c r="E92">
        <v>499.2</v>
      </c>
    </row>
    <row r="93" spans="1:5" x14ac:dyDescent="0.3">
      <c r="A93">
        <v>5</v>
      </c>
      <c r="B93">
        <v>1946</v>
      </c>
      <c r="C93">
        <v>59.37</v>
      </c>
      <c r="D93">
        <v>232.9</v>
      </c>
      <c r="E93">
        <v>534.6</v>
      </c>
    </row>
    <row r="94" spans="1:5" x14ac:dyDescent="0.3">
      <c r="A94">
        <v>5</v>
      </c>
      <c r="B94">
        <v>1947</v>
      </c>
      <c r="C94">
        <v>58.02</v>
      </c>
      <c r="D94">
        <v>249</v>
      </c>
      <c r="E94">
        <v>566.6</v>
      </c>
    </row>
    <row r="95" spans="1:5" x14ac:dyDescent="0.3">
      <c r="A95">
        <v>5</v>
      </c>
      <c r="B95">
        <v>1948</v>
      </c>
      <c r="C95">
        <v>70.34</v>
      </c>
      <c r="D95">
        <v>224.5</v>
      </c>
      <c r="E95">
        <v>595.29999999999995</v>
      </c>
    </row>
    <row r="96" spans="1:5" x14ac:dyDescent="0.3">
      <c r="A96">
        <v>5</v>
      </c>
      <c r="B96">
        <v>1949</v>
      </c>
      <c r="C96">
        <v>67.42</v>
      </c>
      <c r="D96">
        <v>237.3</v>
      </c>
      <c r="E96">
        <v>631.4</v>
      </c>
    </row>
    <row r="97" spans="1:5" x14ac:dyDescent="0.3">
      <c r="A97">
        <v>5</v>
      </c>
      <c r="B97">
        <v>1950</v>
      </c>
      <c r="C97">
        <v>55.74</v>
      </c>
      <c r="D97">
        <v>240.1</v>
      </c>
      <c r="E97">
        <v>662.3</v>
      </c>
    </row>
    <row r="98" spans="1:5" x14ac:dyDescent="0.3">
      <c r="A98">
        <v>5</v>
      </c>
      <c r="B98">
        <v>1951</v>
      </c>
      <c r="C98">
        <v>80.3</v>
      </c>
      <c r="D98">
        <v>327.3</v>
      </c>
      <c r="E98">
        <v>683.9</v>
      </c>
    </row>
    <row r="99" spans="1:5" x14ac:dyDescent="0.3">
      <c r="A99">
        <v>5</v>
      </c>
      <c r="B99">
        <v>1952</v>
      </c>
      <c r="C99">
        <v>85.4</v>
      </c>
      <c r="D99">
        <v>359.4</v>
      </c>
      <c r="E99">
        <v>729.3</v>
      </c>
    </row>
    <row r="100" spans="1:5" x14ac:dyDescent="0.3">
      <c r="A100">
        <v>5</v>
      </c>
      <c r="B100">
        <v>1953</v>
      </c>
      <c r="C100">
        <v>91.9</v>
      </c>
      <c r="D100">
        <v>398.4</v>
      </c>
      <c r="E100">
        <v>774.3</v>
      </c>
    </row>
    <row r="101" spans="1:5" x14ac:dyDescent="0.3">
      <c r="A101">
        <v>5</v>
      </c>
      <c r="B101">
        <v>1954</v>
      </c>
      <c r="C101">
        <v>81.430000000000007</v>
      </c>
      <c r="D101">
        <v>365.7</v>
      </c>
      <c r="E101">
        <v>804.9</v>
      </c>
    </row>
    <row r="102" spans="1:5" x14ac:dyDescent="0.3">
      <c r="A102">
        <v>6</v>
      </c>
      <c r="B102">
        <v>1935</v>
      </c>
      <c r="C102">
        <v>20.36</v>
      </c>
      <c r="D102">
        <v>197</v>
      </c>
      <c r="E102">
        <v>6.5</v>
      </c>
    </row>
    <row r="103" spans="1:5" x14ac:dyDescent="0.3">
      <c r="A103">
        <v>6</v>
      </c>
      <c r="B103">
        <v>1936</v>
      </c>
      <c r="C103">
        <v>25.98</v>
      </c>
      <c r="D103">
        <v>210.3</v>
      </c>
      <c r="E103">
        <v>15.8</v>
      </c>
    </row>
    <row r="104" spans="1:5" x14ac:dyDescent="0.3">
      <c r="A104">
        <v>6</v>
      </c>
      <c r="B104">
        <v>1937</v>
      </c>
      <c r="C104">
        <v>25.94</v>
      </c>
      <c r="D104">
        <v>223.1</v>
      </c>
      <c r="E104">
        <v>27.7</v>
      </c>
    </row>
    <row r="105" spans="1:5" x14ac:dyDescent="0.3">
      <c r="A105">
        <v>6</v>
      </c>
      <c r="B105">
        <v>1938</v>
      </c>
      <c r="C105">
        <v>27.53</v>
      </c>
      <c r="D105">
        <v>216.7</v>
      </c>
      <c r="E105">
        <v>39.200000000000003</v>
      </c>
    </row>
    <row r="106" spans="1:5" x14ac:dyDescent="0.3">
      <c r="A106">
        <v>6</v>
      </c>
      <c r="B106">
        <v>1939</v>
      </c>
      <c r="C106">
        <v>24.6</v>
      </c>
      <c r="D106">
        <v>286.39999999999998</v>
      </c>
      <c r="E106">
        <v>48.6</v>
      </c>
    </row>
    <row r="107" spans="1:5" x14ac:dyDescent="0.3">
      <c r="A107">
        <v>6</v>
      </c>
      <c r="B107">
        <v>1940</v>
      </c>
      <c r="C107">
        <v>28.54</v>
      </c>
      <c r="D107">
        <v>298</v>
      </c>
      <c r="E107">
        <v>52.5</v>
      </c>
    </row>
    <row r="108" spans="1:5" x14ac:dyDescent="0.3">
      <c r="A108">
        <v>6</v>
      </c>
      <c r="B108">
        <v>1941</v>
      </c>
      <c r="C108">
        <v>43.41</v>
      </c>
      <c r="D108">
        <v>276.89999999999998</v>
      </c>
      <c r="E108">
        <v>61.5</v>
      </c>
    </row>
    <row r="109" spans="1:5" x14ac:dyDescent="0.3">
      <c r="A109">
        <v>6</v>
      </c>
      <c r="B109">
        <v>1942</v>
      </c>
      <c r="C109">
        <v>42.81</v>
      </c>
      <c r="D109">
        <v>272.60000000000002</v>
      </c>
      <c r="E109">
        <v>80.5</v>
      </c>
    </row>
    <row r="110" spans="1:5" x14ac:dyDescent="0.3">
      <c r="A110">
        <v>6</v>
      </c>
      <c r="B110">
        <v>1943</v>
      </c>
      <c r="C110">
        <v>27.84</v>
      </c>
      <c r="D110">
        <v>287.39999999999998</v>
      </c>
      <c r="E110">
        <v>94.4</v>
      </c>
    </row>
    <row r="111" spans="1:5" x14ac:dyDescent="0.3">
      <c r="A111">
        <v>6</v>
      </c>
      <c r="B111">
        <v>1944</v>
      </c>
      <c r="C111">
        <v>32.6</v>
      </c>
      <c r="D111">
        <v>330.3</v>
      </c>
      <c r="E111">
        <v>92.6</v>
      </c>
    </row>
    <row r="112" spans="1:5" x14ac:dyDescent="0.3">
      <c r="A112">
        <v>6</v>
      </c>
      <c r="B112">
        <v>1945</v>
      </c>
      <c r="C112">
        <v>39.03</v>
      </c>
      <c r="D112">
        <v>324.39999999999998</v>
      </c>
      <c r="E112">
        <v>92.3</v>
      </c>
    </row>
    <row r="113" spans="1:5" x14ac:dyDescent="0.3">
      <c r="A113">
        <v>6</v>
      </c>
      <c r="B113">
        <v>1946</v>
      </c>
      <c r="C113">
        <v>50.17</v>
      </c>
      <c r="D113">
        <v>401.9</v>
      </c>
      <c r="E113">
        <v>94.2</v>
      </c>
    </row>
    <row r="114" spans="1:5" x14ac:dyDescent="0.3">
      <c r="A114">
        <v>6</v>
      </c>
      <c r="B114">
        <v>1947</v>
      </c>
      <c r="C114">
        <v>51.85</v>
      </c>
      <c r="D114">
        <v>407.4</v>
      </c>
      <c r="E114">
        <v>111.4</v>
      </c>
    </row>
    <row r="115" spans="1:5" x14ac:dyDescent="0.3">
      <c r="A115">
        <v>6</v>
      </c>
      <c r="B115">
        <v>1948</v>
      </c>
      <c r="C115">
        <v>64.03</v>
      </c>
      <c r="D115">
        <v>409.2</v>
      </c>
      <c r="E115">
        <v>127.4</v>
      </c>
    </row>
    <row r="116" spans="1:5" x14ac:dyDescent="0.3">
      <c r="A116">
        <v>6</v>
      </c>
      <c r="B116">
        <v>1949</v>
      </c>
      <c r="C116">
        <v>68.16</v>
      </c>
      <c r="D116">
        <v>482.2</v>
      </c>
      <c r="E116">
        <v>149.30000000000001</v>
      </c>
    </row>
    <row r="117" spans="1:5" x14ac:dyDescent="0.3">
      <c r="A117">
        <v>6</v>
      </c>
      <c r="B117">
        <v>1950</v>
      </c>
      <c r="C117">
        <v>77.34</v>
      </c>
      <c r="D117">
        <v>673.8</v>
      </c>
      <c r="E117">
        <v>164.4</v>
      </c>
    </row>
    <row r="118" spans="1:5" x14ac:dyDescent="0.3">
      <c r="A118">
        <v>6</v>
      </c>
      <c r="B118">
        <v>1951</v>
      </c>
      <c r="C118">
        <v>95.3</v>
      </c>
      <c r="D118">
        <v>676.9</v>
      </c>
      <c r="E118">
        <v>177.2</v>
      </c>
    </row>
    <row r="119" spans="1:5" x14ac:dyDescent="0.3">
      <c r="A119">
        <v>6</v>
      </c>
      <c r="B119">
        <v>1952</v>
      </c>
      <c r="C119">
        <v>99.49</v>
      </c>
      <c r="D119">
        <v>702</v>
      </c>
      <c r="E119">
        <v>200</v>
      </c>
    </row>
    <row r="120" spans="1:5" x14ac:dyDescent="0.3">
      <c r="A120">
        <v>6</v>
      </c>
      <c r="B120">
        <v>1953</v>
      </c>
      <c r="C120">
        <v>127.52</v>
      </c>
      <c r="D120">
        <v>793.5</v>
      </c>
      <c r="E120">
        <v>211.5</v>
      </c>
    </row>
    <row r="121" spans="1:5" x14ac:dyDescent="0.3">
      <c r="A121">
        <v>6</v>
      </c>
      <c r="B121">
        <v>1954</v>
      </c>
      <c r="C121">
        <v>135.72</v>
      </c>
      <c r="D121">
        <v>927.3</v>
      </c>
      <c r="E121">
        <v>238.7</v>
      </c>
    </row>
    <row r="122" spans="1:5" x14ac:dyDescent="0.3">
      <c r="A122">
        <v>7</v>
      </c>
      <c r="B122">
        <v>1935</v>
      </c>
      <c r="C122">
        <v>24.43</v>
      </c>
      <c r="D122">
        <v>138</v>
      </c>
      <c r="E122">
        <v>100.2</v>
      </c>
    </row>
    <row r="123" spans="1:5" x14ac:dyDescent="0.3">
      <c r="A123">
        <v>7</v>
      </c>
      <c r="B123">
        <v>1936</v>
      </c>
      <c r="C123">
        <v>23.21</v>
      </c>
      <c r="D123">
        <v>200.1</v>
      </c>
      <c r="E123">
        <v>125</v>
      </c>
    </row>
    <row r="124" spans="1:5" x14ac:dyDescent="0.3">
      <c r="A124">
        <v>7</v>
      </c>
      <c r="B124">
        <v>1937</v>
      </c>
      <c r="C124">
        <v>32.78</v>
      </c>
      <c r="D124">
        <v>210.1</v>
      </c>
      <c r="E124">
        <v>142.4</v>
      </c>
    </row>
    <row r="125" spans="1:5" x14ac:dyDescent="0.3">
      <c r="A125">
        <v>7</v>
      </c>
      <c r="B125">
        <v>1938</v>
      </c>
      <c r="C125">
        <v>32.54</v>
      </c>
      <c r="D125">
        <v>161.19999999999999</v>
      </c>
      <c r="E125">
        <v>165.1</v>
      </c>
    </row>
    <row r="126" spans="1:5" x14ac:dyDescent="0.3">
      <c r="A126">
        <v>7</v>
      </c>
      <c r="B126">
        <v>1939</v>
      </c>
      <c r="C126">
        <v>26.65</v>
      </c>
      <c r="D126">
        <v>161.69999999999999</v>
      </c>
      <c r="E126">
        <v>194.8</v>
      </c>
    </row>
    <row r="127" spans="1:5" x14ac:dyDescent="0.3">
      <c r="A127">
        <v>7</v>
      </c>
      <c r="B127">
        <v>1940</v>
      </c>
      <c r="C127">
        <v>33.71</v>
      </c>
      <c r="D127">
        <v>145.1</v>
      </c>
      <c r="E127">
        <v>222.9</v>
      </c>
    </row>
    <row r="128" spans="1:5" x14ac:dyDescent="0.3">
      <c r="A128">
        <v>7</v>
      </c>
      <c r="B128">
        <v>1941</v>
      </c>
      <c r="C128">
        <v>43.5</v>
      </c>
      <c r="D128">
        <v>110.6</v>
      </c>
      <c r="E128">
        <v>252.1</v>
      </c>
    </row>
    <row r="129" spans="1:5" x14ac:dyDescent="0.3">
      <c r="A129">
        <v>7</v>
      </c>
      <c r="B129">
        <v>1942</v>
      </c>
      <c r="C129">
        <v>34.46</v>
      </c>
      <c r="D129">
        <v>98.1</v>
      </c>
      <c r="E129">
        <v>276.3</v>
      </c>
    </row>
    <row r="130" spans="1:5" x14ac:dyDescent="0.3">
      <c r="A130">
        <v>7</v>
      </c>
      <c r="B130">
        <v>1943</v>
      </c>
      <c r="C130">
        <v>44.28</v>
      </c>
      <c r="D130">
        <v>108.8</v>
      </c>
      <c r="E130">
        <v>300.3</v>
      </c>
    </row>
    <row r="131" spans="1:5" x14ac:dyDescent="0.3">
      <c r="A131">
        <v>7</v>
      </c>
      <c r="B131">
        <v>1944</v>
      </c>
      <c r="C131">
        <v>70.8</v>
      </c>
      <c r="D131">
        <v>118.2</v>
      </c>
      <c r="E131">
        <v>318.2</v>
      </c>
    </row>
    <row r="132" spans="1:5" x14ac:dyDescent="0.3">
      <c r="A132">
        <v>7</v>
      </c>
      <c r="B132">
        <v>1945</v>
      </c>
      <c r="C132">
        <v>44.12</v>
      </c>
      <c r="D132">
        <v>126.5</v>
      </c>
      <c r="E132">
        <v>336.2</v>
      </c>
    </row>
    <row r="133" spans="1:5" x14ac:dyDescent="0.3">
      <c r="A133">
        <v>7</v>
      </c>
      <c r="B133">
        <v>1946</v>
      </c>
      <c r="C133">
        <v>48.98</v>
      </c>
      <c r="D133">
        <v>156.69999999999999</v>
      </c>
      <c r="E133">
        <v>351.2</v>
      </c>
    </row>
    <row r="134" spans="1:5" x14ac:dyDescent="0.3">
      <c r="A134">
        <v>7</v>
      </c>
      <c r="B134">
        <v>1947</v>
      </c>
      <c r="C134">
        <v>48.51</v>
      </c>
      <c r="D134">
        <v>119.4</v>
      </c>
      <c r="E134">
        <v>373.6</v>
      </c>
    </row>
    <row r="135" spans="1:5" x14ac:dyDescent="0.3">
      <c r="A135">
        <v>7</v>
      </c>
      <c r="B135">
        <v>1948</v>
      </c>
      <c r="C135">
        <v>50</v>
      </c>
      <c r="D135">
        <v>129.1</v>
      </c>
      <c r="E135">
        <v>389.4</v>
      </c>
    </row>
    <row r="136" spans="1:5" x14ac:dyDescent="0.3">
      <c r="A136">
        <v>7</v>
      </c>
      <c r="B136">
        <v>1949</v>
      </c>
      <c r="C136">
        <v>50.59</v>
      </c>
      <c r="D136">
        <v>134.80000000000001</v>
      </c>
      <c r="E136">
        <v>406.7</v>
      </c>
    </row>
    <row r="137" spans="1:5" x14ac:dyDescent="0.3">
      <c r="A137">
        <v>7</v>
      </c>
      <c r="B137">
        <v>1950</v>
      </c>
      <c r="C137">
        <v>42.53</v>
      </c>
      <c r="D137">
        <v>140.80000000000001</v>
      </c>
      <c r="E137">
        <v>429.5</v>
      </c>
    </row>
    <row r="138" spans="1:5" x14ac:dyDescent="0.3">
      <c r="A138">
        <v>7</v>
      </c>
      <c r="B138">
        <v>1951</v>
      </c>
      <c r="C138">
        <v>64.77</v>
      </c>
      <c r="D138">
        <v>179</v>
      </c>
      <c r="E138">
        <v>450.6</v>
      </c>
    </row>
    <row r="139" spans="1:5" x14ac:dyDescent="0.3">
      <c r="A139">
        <v>7</v>
      </c>
      <c r="B139">
        <v>1952</v>
      </c>
      <c r="C139">
        <v>72.680000000000007</v>
      </c>
      <c r="D139">
        <v>178.1</v>
      </c>
      <c r="E139">
        <v>466.9</v>
      </c>
    </row>
    <row r="140" spans="1:5" x14ac:dyDescent="0.3">
      <c r="A140">
        <v>7</v>
      </c>
      <c r="B140">
        <v>1953</v>
      </c>
      <c r="C140">
        <v>73.86</v>
      </c>
      <c r="D140">
        <v>186.8</v>
      </c>
      <c r="E140">
        <v>486.2</v>
      </c>
    </row>
    <row r="141" spans="1:5" x14ac:dyDescent="0.3">
      <c r="A141">
        <v>7</v>
      </c>
      <c r="B141">
        <v>1954</v>
      </c>
      <c r="C141">
        <v>89.51</v>
      </c>
      <c r="D141">
        <v>192.7</v>
      </c>
      <c r="E141">
        <v>511.3</v>
      </c>
    </row>
    <row r="142" spans="1:5" x14ac:dyDescent="0.3">
      <c r="A142">
        <v>8</v>
      </c>
      <c r="B142">
        <v>1935</v>
      </c>
      <c r="C142">
        <v>12.93</v>
      </c>
      <c r="D142">
        <v>191.5</v>
      </c>
      <c r="E142">
        <v>1.8</v>
      </c>
    </row>
    <row r="143" spans="1:5" x14ac:dyDescent="0.3">
      <c r="A143">
        <v>8</v>
      </c>
      <c r="B143">
        <v>1936</v>
      </c>
      <c r="C143">
        <v>25.9</v>
      </c>
      <c r="D143">
        <v>516</v>
      </c>
      <c r="E143">
        <v>0.8</v>
      </c>
    </row>
    <row r="144" spans="1:5" x14ac:dyDescent="0.3">
      <c r="A144">
        <v>8</v>
      </c>
      <c r="B144">
        <v>1937</v>
      </c>
      <c r="C144">
        <v>35.049999999999997</v>
      </c>
      <c r="D144">
        <v>729</v>
      </c>
      <c r="E144">
        <v>7.4</v>
      </c>
    </row>
    <row r="145" spans="1:5" x14ac:dyDescent="0.3">
      <c r="A145">
        <v>8</v>
      </c>
      <c r="B145">
        <v>1938</v>
      </c>
      <c r="C145">
        <v>22.89</v>
      </c>
      <c r="D145">
        <v>560.4</v>
      </c>
      <c r="E145">
        <v>18.100000000000001</v>
      </c>
    </row>
    <row r="146" spans="1:5" x14ac:dyDescent="0.3">
      <c r="A146">
        <v>8</v>
      </c>
      <c r="B146">
        <v>1939</v>
      </c>
      <c r="C146">
        <v>18.84</v>
      </c>
      <c r="D146">
        <v>519.9</v>
      </c>
      <c r="E146">
        <v>23.5</v>
      </c>
    </row>
    <row r="147" spans="1:5" x14ac:dyDescent="0.3">
      <c r="A147">
        <v>8</v>
      </c>
      <c r="B147">
        <v>1940</v>
      </c>
      <c r="C147">
        <v>28.57</v>
      </c>
      <c r="D147">
        <v>628.5</v>
      </c>
      <c r="E147">
        <v>26.5</v>
      </c>
    </row>
    <row r="148" spans="1:5" x14ac:dyDescent="0.3">
      <c r="A148">
        <v>8</v>
      </c>
      <c r="B148">
        <v>1941</v>
      </c>
      <c r="C148">
        <v>48.51</v>
      </c>
      <c r="D148">
        <v>537.1</v>
      </c>
      <c r="E148">
        <v>36.200000000000003</v>
      </c>
    </row>
    <row r="149" spans="1:5" x14ac:dyDescent="0.3">
      <c r="A149">
        <v>8</v>
      </c>
      <c r="B149">
        <v>1942</v>
      </c>
      <c r="C149">
        <v>43.34</v>
      </c>
      <c r="D149">
        <v>561.20000000000005</v>
      </c>
      <c r="E149">
        <v>60.8</v>
      </c>
    </row>
    <row r="150" spans="1:5" x14ac:dyDescent="0.3">
      <c r="A150">
        <v>8</v>
      </c>
      <c r="B150">
        <v>1943</v>
      </c>
      <c r="C150">
        <v>37.020000000000003</v>
      </c>
      <c r="D150">
        <v>617.20000000000005</v>
      </c>
      <c r="E150">
        <v>84.4</v>
      </c>
    </row>
    <row r="151" spans="1:5" x14ac:dyDescent="0.3">
      <c r="A151">
        <v>8</v>
      </c>
      <c r="B151">
        <v>1944</v>
      </c>
      <c r="C151">
        <v>37.81</v>
      </c>
      <c r="D151">
        <v>626.70000000000005</v>
      </c>
      <c r="E151">
        <v>91.2</v>
      </c>
    </row>
    <row r="152" spans="1:5" x14ac:dyDescent="0.3">
      <c r="A152">
        <v>8</v>
      </c>
      <c r="B152">
        <v>1945</v>
      </c>
      <c r="C152">
        <v>39.270000000000003</v>
      </c>
      <c r="D152">
        <v>737.2</v>
      </c>
      <c r="E152">
        <v>92.4</v>
      </c>
    </row>
    <row r="153" spans="1:5" x14ac:dyDescent="0.3">
      <c r="A153">
        <v>8</v>
      </c>
      <c r="B153">
        <v>1946</v>
      </c>
      <c r="C153">
        <v>53.46</v>
      </c>
      <c r="D153">
        <v>760.5</v>
      </c>
      <c r="E153">
        <v>86</v>
      </c>
    </row>
    <row r="154" spans="1:5" x14ac:dyDescent="0.3">
      <c r="A154">
        <v>8</v>
      </c>
      <c r="B154">
        <v>1947</v>
      </c>
      <c r="C154">
        <v>55.56</v>
      </c>
      <c r="D154">
        <v>581.4</v>
      </c>
      <c r="E154">
        <v>111.1</v>
      </c>
    </row>
    <row r="155" spans="1:5" x14ac:dyDescent="0.3">
      <c r="A155">
        <v>8</v>
      </c>
      <c r="B155">
        <v>1948</v>
      </c>
      <c r="C155">
        <v>49.56</v>
      </c>
      <c r="D155">
        <v>662.3</v>
      </c>
      <c r="E155">
        <v>130.6</v>
      </c>
    </row>
    <row r="156" spans="1:5" x14ac:dyDescent="0.3">
      <c r="A156">
        <v>8</v>
      </c>
      <c r="B156">
        <v>1949</v>
      </c>
      <c r="C156">
        <v>32.04</v>
      </c>
      <c r="D156">
        <v>583.79999999999995</v>
      </c>
      <c r="E156">
        <v>141.80000000000001</v>
      </c>
    </row>
    <row r="157" spans="1:5" x14ac:dyDescent="0.3">
      <c r="A157">
        <v>8</v>
      </c>
      <c r="B157">
        <v>1950</v>
      </c>
      <c r="C157">
        <v>32.24</v>
      </c>
      <c r="D157">
        <v>635.20000000000005</v>
      </c>
      <c r="E157">
        <v>136.69999999999999</v>
      </c>
    </row>
    <row r="158" spans="1:5" x14ac:dyDescent="0.3">
      <c r="A158">
        <v>8</v>
      </c>
      <c r="B158">
        <v>1951</v>
      </c>
      <c r="C158">
        <v>54.38</v>
      </c>
      <c r="D158">
        <v>723.8</v>
      </c>
      <c r="E158">
        <v>129.69999999999999</v>
      </c>
    </row>
    <row r="159" spans="1:5" x14ac:dyDescent="0.3">
      <c r="A159">
        <v>8</v>
      </c>
      <c r="B159">
        <v>1952</v>
      </c>
      <c r="C159">
        <v>71.78</v>
      </c>
      <c r="D159">
        <v>864.1</v>
      </c>
      <c r="E159">
        <v>145.5</v>
      </c>
    </row>
    <row r="160" spans="1:5" x14ac:dyDescent="0.3">
      <c r="A160">
        <v>8</v>
      </c>
      <c r="B160">
        <v>1953</v>
      </c>
      <c r="C160">
        <v>90.08</v>
      </c>
      <c r="D160">
        <v>1193.5</v>
      </c>
      <c r="E160">
        <v>174.8</v>
      </c>
    </row>
    <row r="161" spans="1:5" x14ac:dyDescent="0.3">
      <c r="A161">
        <v>8</v>
      </c>
      <c r="B161">
        <v>1954</v>
      </c>
      <c r="C161">
        <v>68.599999999999994</v>
      </c>
      <c r="D161">
        <v>1188.9000000000001</v>
      </c>
      <c r="E161">
        <v>213.5</v>
      </c>
    </row>
    <row r="162" spans="1:5" x14ac:dyDescent="0.3">
      <c r="A162">
        <v>9</v>
      </c>
      <c r="B162">
        <v>1935</v>
      </c>
      <c r="C162">
        <v>26.63</v>
      </c>
      <c r="D162">
        <v>290.60000000000002</v>
      </c>
      <c r="E162">
        <v>162</v>
      </c>
    </row>
    <row r="163" spans="1:5" x14ac:dyDescent="0.3">
      <c r="A163">
        <v>9</v>
      </c>
      <c r="B163">
        <v>1936</v>
      </c>
      <c r="C163">
        <v>23.39</v>
      </c>
      <c r="D163">
        <v>291.10000000000002</v>
      </c>
      <c r="E163">
        <v>174</v>
      </c>
    </row>
    <row r="164" spans="1:5" x14ac:dyDescent="0.3">
      <c r="A164">
        <v>9</v>
      </c>
      <c r="B164">
        <v>1937</v>
      </c>
      <c r="C164">
        <v>30.65</v>
      </c>
      <c r="D164">
        <v>335</v>
      </c>
      <c r="E164">
        <v>183</v>
      </c>
    </row>
    <row r="165" spans="1:5" x14ac:dyDescent="0.3">
      <c r="A165">
        <v>9</v>
      </c>
      <c r="B165">
        <v>1938</v>
      </c>
      <c r="C165">
        <v>20.89</v>
      </c>
      <c r="D165">
        <v>246</v>
      </c>
      <c r="E165">
        <v>198</v>
      </c>
    </row>
    <row r="166" spans="1:5" x14ac:dyDescent="0.3">
      <c r="A166">
        <v>9</v>
      </c>
      <c r="B166">
        <v>1939</v>
      </c>
      <c r="C166">
        <v>28.78</v>
      </c>
      <c r="D166">
        <v>356.2</v>
      </c>
      <c r="E166">
        <v>208</v>
      </c>
    </row>
    <row r="167" spans="1:5" x14ac:dyDescent="0.3">
      <c r="A167">
        <v>9</v>
      </c>
      <c r="B167">
        <v>1940</v>
      </c>
      <c r="C167">
        <v>26.93</v>
      </c>
      <c r="D167">
        <v>289.8</v>
      </c>
      <c r="E167">
        <v>223</v>
      </c>
    </row>
    <row r="168" spans="1:5" x14ac:dyDescent="0.3">
      <c r="A168">
        <v>9</v>
      </c>
      <c r="B168">
        <v>1941</v>
      </c>
      <c r="C168">
        <v>32.08</v>
      </c>
      <c r="D168">
        <v>268.2</v>
      </c>
      <c r="E168">
        <v>234</v>
      </c>
    </row>
    <row r="169" spans="1:5" x14ac:dyDescent="0.3">
      <c r="A169">
        <v>9</v>
      </c>
      <c r="B169">
        <v>1942</v>
      </c>
      <c r="C169">
        <v>32.21</v>
      </c>
      <c r="D169">
        <v>213.3</v>
      </c>
      <c r="E169">
        <v>248</v>
      </c>
    </row>
    <row r="170" spans="1:5" x14ac:dyDescent="0.3">
      <c r="A170">
        <v>9</v>
      </c>
      <c r="B170">
        <v>1943</v>
      </c>
      <c r="C170">
        <v>35.69</v>
      </c>
      <c r="D170">
        <v>348.2</v>
      </c>
      <c r="E170">
        <v>274</v>
      </c>
    </row>
    <row r="171" spans="1:5" x14ac:dyDescent="0.3">
      <c r="A171">
        <v>9</v>
      </c>
      <c r="B171">
        <v>1944</v>
      </c>
      <c r="C171">
        <v>62.47</v>
      </c>
      <c r="D171">
        <v>374.2</v>
      </c>
      <c r="E171">
        <v>282</v>
      </c>
    </row>
    <row r="172" spans="1:5" x14ac:dyDescent="0.3">
      <c r="A172">
        <v>9</v>
      </c>
      <c r="B172">
        <v>1945</v>
      </c>
      <c r="C172">
        <v>52.32</v>
      </c>
      <c r="D172">
        <v>387.2</v>
      </c>
      <c r="E172">
        <v>316</v>
      </c>
    </row>
    <row r="173" spans="1:5" x14ac:dyDescent="0.3">
      <c r="A173">
        <v>9</v>
      </c>
      <c r="B173">
        <v>1946</v>
      </c>
      <c r="C173">
        <v>56.95</v>
      </c>
      <c r="D173">
        <v>347.4</v>
      </c>
      <c r="E173">
        <v>302</v>
      </c>
    </row>
    <row r="174" spans="1:5" x14ac:dyDescent="0.3">
      <c r="A174">
        <v>9</v>
      </c>
      <c r="B174">
        <v>1947</v>
      </c>
      <c r="C174">
        <v>54.32</v>
      </c>
      <c r="D174">
        <v>291.89999999999998</v>
      </c>
      <c r="E174">
        <v>333</v>
      </c>
    </row>
    <row r="175" spans="1:5" x14ac:dyDescent="0.3">
      <c r="A175">
        <v>9</v>
      </c>
      <c r="B175">
        <v>1948</v>
      </c>
      <c r="C175">
        <v>40.53</v>
      </c>
      <c r="D175">
        <v>297.2</v>
      </c>
      <c r="E175">
        <v>359</v>
      </c>
    </row>
    <row r="176" spans="1:5" x14ac:dyDescent="0.3">
      <c r="A176">
        <v>9</v>
      </c>
      <c r="B176">
        <v>1949</v>
      </c>
      <c r="C176">
        <v>32.54</v>
      </c>
      <c r="D176">
        <v>276.89999999999998</v>
      </c>
      <c r="E176">
        <v>370</v>
      </c>
    </row>
    <row r="177" spans="1:5" x14ac:dyDescent="0.3">
      <c r="A177">
        <v>9</v>
      </c>
      <c r="B177">
        <v>1950</v>
      </c>
      <c r="C177">
        <v>43.48</v>
      </c>
      <c r="D177">
        <v>274.60000000000002</v>
      </c>
      <c r="E177">
        <v>376</v>
      </c>
    </row>
    <row r="178" spans="1:5" x14ac:dyDescent="0.3">
      <c r="A178">
        <v>9</v>
      </c>
      <c r="B178">
        <v>1951</v>
      </c>
      <c r="C178">
        <v>56.49</v>
      </c>
      <c r="D178">
        <v>339.9</v>
      </c>
      <c r="E178">
        <v>391</v>
      </c>
    </row>
    <row r="179" spans="1:5" x14ac:dyDescent="0.3">
      <c r="A179">
        <v>9</v>
      </c>
      <c r="B179">
        <v>1952</v>
      </c>
      <c r="C179">
        <v>65.98</v>
      </c>
      <c r="D179">
        <v>474.8</v>
      </c>
      <c r="E179">
        <v>414</v>
      </c>
    </row>
    <row r="180" spans="1:5" x14ac:dyDescent="0.3">
      <c r="A180">
        <v>9</v>
      </c>
      <c r="B180">
        <v>1953</v>
      </c>
      <c r="C180">
        <v>66.11</v>
      </c>
      <c r="D180">
        <v>496</v>
      </c>
      <c r="E180">
        <v>443</v>
      </c>
    </row>
    <row r="181" spans="1:5" x14ac:dyDescent="0.3">
      <c r="A181">
        <v>9</v>
      </c>
      <c r="B181">
        <v>1954</v>
      </c>
      <c r="C181">
        <v>49.34</v>
      </c>
      <c r="D181">
        <v>474.5</v>
      </c>
      <c r="E181">
        <v>468</v>
      </c>
    </row>
    <row r="182" spans="1:5" x14ac:dyDescent="0.3">
      <c r="A182">
        <v>10</v>
      </c>
      <c r="B182">
        <v>1935</v>
      </c>
      <c r="C182">
        <v>2.54</v>
      </c>
      <c r="D182">
        <v>70.91</v>
      </c>
      <c r="E182">
        <v>4.5</v>
      </c>
    </row>
    <row r="183" spans="1:5" x14ac:dyDescent="0.3">
      <c r="A183">
        <v>10</v>
      </c>
      <c r="B183">
        <v>1936</v>
      </c>
      <c r="C183">
        <v>2</v>
      </c>
      <c r="D183">
        <v>87.94</v>
      </c>
      <c r="E183">
        <v>4.71</v>
      </c>
    </row>
    <row r="184" spans="1:5" x14ac:dyDescent="0.3">
      <c r="A184">
        <v>10</v>
      </c>
      <c r="B184">
        <v>1937</v>
      </c>
      <c r="C184">
        <v>2.19</v>
      </c>
      <c r="D184">
        <v>82.2</v>
      </c>
      <c r="E184">
        <v>4.57</v>
      </c>
    </row>
    <row r="185" spans="1:5" x14ac:dyDescent="0.3">
      <c r="A185">
        <v>10</v>
      </c>
      <c r="B185">
        <v>1938</v>
      </c>
      <c r="C185">
        <v>1.99</v>
      </c>
      <c r="D185">
        <v>58.72</v>
      </c>
      <c r="E185">
        <v>4.5599999999999996</v>
      </c>
    </row>
    <row r="186" spans="1:5" x14ac:dyDescent="0.3">
      <c r="A186">
        <v>10</v>
      </c>
      <c r="B186">
        <v>1939</v>
      </c>
      <c r="C186">
        <v>2.0299999999999998</v>
      </c>
      <c r="D186">
        <v>80.540000000000006</v>
      </c>
      <c r="E186">
        <v>4.38</v>
      </c>
    </row>
    <row r="187" spans="1:5" x14ac:dyDescent="0.3">
      <c r="A187">
        <v>10</v>
      </c>
      <c r="B187">
        <v>1940</v>
      </c>
      <c r="C187">
        <v>1.81</v>
      </c>
      <c r="D187">
        <v>86.47</v>
      </c>
      <c r="E187">
        <v>4.21</v>
      </c>
    </row>
    <row r="188" spans="1:5" x14ac:dyDescent="0.3">
      <c r="A188">
        <v>10</v>
      </c>
      <c r="B188">
        <v>1941</v>
      </c>
      <c r="C188">
        <v>2.14</v>
      </c>
      <c r="D188">
        <v>77.680000000000007</v>
      </c>
      <c r="E188">
        <v>4.12</v>
      </c>
    </row>
    <row r="189" spans="1:5" x14ac:dyDescent="0.3">
      <c r="A189">
        <v>10</v>
      </c>
      <c r="B189">
        <v>1942</v>
      </c>
      <c r="C189">
        <v>1.86</v>
      </c>
      <c r="D189">
        <v>62.16</v>
      </c>
      <c r="E189">
        <v>3.83</v>
      </c>
    </row>
    <row r="190" spans="1:5" x14ac:dyDescent="0.3">
      <c r="A190">
        <v>10</v>
      </c>
      <c r="B190">
        <v>1943</v>
      </c>
      <c r="C190">
        <v>0.93</v>
      </c>
      <c r="D190">
        <v>62.24</v>
      </c>
      <c r="E190">
        <v>3.58</v>
      </c>
    </row>
    <row r="191" spans="1:5" x14ac:dyDescent="0.3">
      <c r="A191">
        <v>10</v>
      </c>
      <c r="B191">
        <v>1944</v>
      </c>
      <c r="C191">
        <v>1.18</v>
      </c>
      <c r="D191">
        <v>61.82</v>
      </c>
      <c r="E191">
        <v>3.41</v>
      </c>
    </row>
    <row r="192" spans="1:5" x14ac:dyDescent="0.3">
      <c r="A192">
        <v>10</v>
      </c>
      <c r="B192">
        <v>1945</v>
      </c>
      <c r="C192">
        <v>1.36</v>
      </c>
      <c r="D192">
        <v>65.849999999999994</v>
      </c>
      <c r="E192">
        <v>3.31</v>
      </c>
    </row>
    <row r="193" spans="1:5" x14ac:dyDescent="0.3">
      <c r="A193">
        <v>10</v>
      </c>
      <c r="B193">
        <v>1946</v>
      </c>
      <c r="C193">
        <v>2.2400000000000002</v>
      </c>
      <c r="D193">
        <v>69.540000000000006</v>
      </c>
      <c r="E193">
        <v>3.23</v>
      </c>
    </row>
    <row r="194" spans="1:5" x14ac:dyDescent="0.3">
      <c r="A194">
        <v>10</v>
      </c>
      <c r="B194">
        <v>1947</v>
      </c>
      <c r="C194">
        <v>3.81</v>
      </c>
      <c r="D194">
        <v>64.97</v>
      </c>
      <c r="E194">
        <v>3.9</v>
      </c>
    </row>
    <row r="195" spans="1:5" x14ac:dyDescent="0.3">
      <c r="A195">
        <v>10</v>
      </c>
      <c r="B195">
        <v>1948</v>
      </c>
      <c r="C195">
        <v>5.66</v>
      </c>
      <c r="D195">
        <v>68</v>
      </c>
      <c r="E195">
        <v>5.38</v>
      </c>
    </row>
    <row r="196" spans="1:5" x14ac:dyDescent="0.3">
      <c r="A196">
        <v>10</v>
      </c>
      <c r="B196">
        <v>1949</v>
      </c>
      <c r="C196">
        <v>4.21</v>
      </c>
      <c r="D196">
        <v>71.239999999999995</v>
      </c>
      <c r="E196">
        <v>7.39</v>
      </c>
    </row>
    <row r="197" spans="1:5" x14ac:dyDescent="0.3">
      <c r="A197">
        <v>10</v>
      </c>
      <c r="B197">
        <v>1950</v>
      </c>
      <c r="C197">
        <v>3.42</v>
      </c>
      <c r="D197">
        <v>69.05</v>
      </c>
      <c r="E197">
        <v>8.74</v>
      </c>
    </row>
    <row r="198" spans="1:5" x14ac:dyDescent="0.3">
      <c r="A198">
        <v>10</v>
      </c>
      <c r="B198">
        <v>1951</v>
      </c>
      <c r="C198">
        <v>4.67</v>
      </c>
      <c r="D198">
        <v>83.04</v>
      </c>
      <c r="E198">
        <v>9.07</v>
      </c>
    </row>
    <row r="199" spans="1:5" x14ac:dyDescent="0.3">
      <c r="A199">
        <v>10</v>
      </c>
      <c r="B199">
        <v>1952</v>
      </c>
      <c r="C199">
        <v>6</v>
      </c>
      <c r="D199">
        <v>74.42</v>
      </c>
      <c r="E199">
        <v>9.93</v>
      </c>
    </row>
    <row r="200" spans="1:5" x14ac:dyDescent="0.3">
      <c r="A200">
        <v>10</v>
      </c>
      <c r="B200">
        <v>1953</v>
      </c>
      <c r="C200">
        <v>6.53</v>
      </c>
      <c r="D200">
        <v>63.51</v>
      </c>
      <c r="E200">
        <v>11.68</v>
      </c>
    </row>
    <row r="201" spans="1:5" x14ac:dyDescent="0.3">
      <c r="A201">
        <v>10</v>
      </c>
      <c r="B201">
        <v>1954</v>
      </c>
      <c r="C201">
        <v>5.12</v>
      </c>
      <c r="D201">
        <v>58.12</v>
      </c>
      <c r="E201">
        <v>14.33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71D17-4B01-4321-A564-0F1C08138652}">
  <dimension ref="A1:A1001"/>
  <sheetViews>
    <sheetView workbookViewId="0">
      <selection activeCell="A3" sqref="A3"/>
    </sheetView>
  </sheetViews>
  <sheetFormatPr baseColWidth="10" defaultColWidth="8.88671875" defaultRowHeight="14.4" x14ac:dyDescent="0.3"/>
  <sheetData>
    <row r="1" spans="1:1" x14ac:dyDescent="0.3">
      <c r="A1" s="14" t="s">
        <v>34</v>
      </c>
    </row>
    <row r="2" spans="1:1" x14ac:dyDescent="0.3">
      <c r="A2" s="13">
        <v>0</v>
      </c>
    </row>
    <row r="3" spans="1:1" x14ac:dyDescent="0.3">
      <c r="A3">
        <v>0.27742924211066</v>
      </c>
    </row>
    <row r="4" spans="1:1" x14ac:dyDescent="0.3">
      <c r="A4">
        <v>1.2786416461605179</v>
      </c>
    </row>
    <row r="5" spans="1:1" x14ac:dyDescent="0.3">
      <c r="A5">
        <v>-1.450648550316987</v>
      </c>
    </row>
    <row r="6" spans="1:1" x14ac:dyDescent="0.3">
      <c r="A6">
        <v>-0.58632929641084064</v>
      </c>
    </row>
    <row r="7" spans="1:1" x14ac:dyDescent="0.3">
      <c r="A7">
        <v>9.5625384669985547E-2</v>
      </c>
    </row>
    <row r="8" spans="1:1" x14ac:dyDescent="0.3">
      <c r="A8">
        <v>-0.50780219086565892</v>
      </c>
    </row>
    <row r="9" spans="1:1" x14ac:dyDescent="0.3">
      <c r="A9">
        <v>-0.90209338939014827</v>
      </c>
    </row>
    <row r="10" spans="1:1" x14ac:dyDescent="0.3">
      <c r="A10">
        <v>-1.1959173716663869</v>
      </c>
    </row>
    <row r="11" spans="1:1" x14ac:dyDescent="0.3">
      <c r="A11">
        <v>-1.7271799892105739</v>
      </c>
    </row>
    <row r="12" spans="1:1" x14ac:dyDescent="0.3">
      <c r="A12">
        <v>-1.686218692200949</v>
      </c>
    </row>
    <row r="13" spans="1:1" x14ac:dyDescent="0.3">
      <c r="A13">
        <v>-2.1787395294003682</v>
      </c>
    </row>
    <row r="14" spans="1:1" x14ac:dyDescent="0.3">
      <c r="A14">
        <v>-2.3013715652182478</v>
      </c>
    </row>
    <row r="15" spans="1:1" x14ac:dyDescent="0.3">
      <c r="A15">
        <v>-1.546501278376504</v>
      </c>
    </row>
    <row r="16" spans="1:1" x14ac:dyDescent="0.3">
      <c r="A16">
        <v>-0.1230568358927816</v>
      </c>
    </row>
    <row r="17" spans="1:1" x14ac:dyDescent="0.3">
      <c r="A17">
        <v>-0.19642527951572139</v>
      </c>
    </row>
    <row r="18" spans="1:1" x14ac:dyDescent="0.3">
      <c r="A18">
        <v>-0.64850720146764718</v>
      </c>
    </row>
    <row r="19" spans="1:1" x14ac:dyDescent="0.3">
      <c r="A19">
        <v>-1.365150457657164</v>
      </c>
    </row>
    <row r="20" spans="1:1" x14ac:dyDescent="0.3">
      <c r="A20">
        <v>-1.7927770006289541</v>
      </c>
    </row>
    <row r="21" spans="1:1" x14ac:dyDescent="0.3">
      <c r="A21">
        <v>1.160891278049073</v>
      </c>
    </row>
    <row r="22" spans="1:1" x14ac:dyDescent="0.3">
      <c r="A22">
        <v>0.9467121147863824</v>
      </c>
    </row>
    <row r="23" spans="1:1" x14ac:dyDescent="0.3">
      <c r="A23">
        <v>0.17201258365952479</v>
      </c>
    </row>
    <row r="24" spans="1:1" x14ac:dyDescent="0.3">
      <c r="A24">
        <v>-0.32013906379155971</v>
      </c>
    </row>
    <row r="25" spans="1:1" x14ac:dyDescent="0.3">
      <c r="A25">
        <v>0.23549209635176191</v>
      </c>
    </row>
    <row r="26" spans="1:1" x14ac:dyDescent="0.3">
      <c r="A26">
        <v>-0.5288757794912422</v>
      </c>
    </row>
    <row r="27" spans="1:1" x14ac:dyDescent="0.3">
      <c r="A27">
        <v>-1.818417956030342</v>
      </c>
    </row>
    <row r="28" spans="1:1" x14ac:dyDescent="0.3">
      <c r="A28">
        <v>-0.69813684832051059</v>
      </c>
    </row>
    <row r="29" spans="1:1" x14ac:dyDescent="0.3">
      <c r="A29">
        <v>-1.512351516788236</v>
      </c>
    </row>
    <row r="30" spans="1:1" x14ac:dyDescent="0.3">
      <c r="A30">
        <v>-1.0737843621159471</v>
      </c>
    </row>
    <row r="31" spans="1:1" x14ac:dyDescent="0.3">
      <c r="A31">
        <v>-1.687597654649557</v>
      </c>
    </row>
    <row r="32" spans="1:1" x14ac:dyDescent="0.3">
      <c r="A32">
        <v>-7.9020812054426681E-2</v>
      </c>
    </row>
    <row r="33" spans="1:1" x14ac:dyDescent="0.3">
      <c r="A33">
        <v>-0.53090764730715601</v>
      </c>
    </row>
    <row r="34" spans="1:1" x14ac:dyDescent="0.3">
      <c r="A34">
        <v>-1.0810753906275159</v>
      </c>
    </row>
    <row r="35" spans="1:1" x14ac:dyDescent="0.3">
      <c r="A35">
        <v>-1.2580108340340219</v>
      </c>
    </row>
    <row r="36" spans="1:1" x14ac:dyDescent="0.3">
      <c r="A36">
        <v>-2.509701052902519</v>
      </c>
    </row>
    <row r="37" spans="1:1" x14ac:dyDescent="0.3">
      <c r="A37">
        <v>-2.9244099991259498</v>
      </c>
    </row>
    <row r="38" spans="1:1" x14ac:dyDescent="0.3">
      <c r="A38">
        <v>-4.2271266483368386</v>
      </c>
    </row>
    <row r="39" spans="1:1" x14ac:dyDescent="0.3">
      <c r="A39">
        <v>-4.2999818459358146</v>
      </c>
    </row>
    <row r="40" spans="1:1" x14ac:dyDescent="0.3">
      <c r="A40">
        <v>-3.3042811509187842</v>
      </c>
    </row>
    <row r="41" spans="1:1" x14ac:dyDescent="0.3">
      <c r="A41">
        <v>-2.7788943460492588</v>
      </c>
    </row>
    <row r="42" spans="1:1" x14ac:dyDescent="0.3">
      <c r="A42">
        <v>-0.49572977694734899</v>
      </c>
    </row>
    <row r="43" spans="1:1" x14ac:dyDescent="0.3">
      <c r="A43">
        <v>-1.4156535675377251</v>
      </c>
    </row>
    <row r="44" spans="1:1" x14ac:dyDescent="0.3">
      <c r="A44">
        <v>-1.8463221310139151</v>
      </c>
    </row>
    <row r="45" spans="1:1" x14ac:dyDescent="0.3">
      <c r="A45">
        <v>-1.573048493667194</v>
      </c>
    </row>
    <row r="46" spans="1:1" x14ac:dyDescent="0.3">
      <c r="A46">
        <v>-2.0954740218626999</v>
      </c>
    </row>
    <row r="47" spans="1:1" x14ac:dyDescent="0.3">
      <c r="A47">
        <v>-2.4353461331759392</v>
      </c>
    </row>
    <row r="48" spans="1:1" x14ac:dyDescent="0.3">
      <c r="A48">
        <v>-2.8120604858649232</v>
      </c>
    </row>
    <row r="49" spans="1:1" x14ac:dyDescent="0.3">
      <c r="A49">
        <v>-3.2204282257443859</v>
      </c>
    </row>
    <row r="50" spans="1:1" x14ac:dyDescent="0.3">
      <c r="A50">
        <v>-2.7781278770084259</v>
      </c>
    </row>
    <row r="51" spans="1:1" x14ac:dyDescent="0.3">
      <c r="A51">
        <v>-2.441539471172598</v>
      </c>
    </row>
    <row r="52" spans="1:1" x14ac:dyDescent="0.3">
      <c r="A52">
        <v>-3.5151088866227669</v>
      </c>
    </row>
    <row r="53" spans="1:1" x14ac:dyDescent="0.3">
      <c r="A53">
        <v>-3.04265214532527</v>
      </c>
    </row>
    <row r="54" spans="1:1" x14ac:dyDescent="0.3">
      <c r="A54">
        <v>-3.2387461261544699</v>
      </c>
    </row>
    <row r="55" spans="1:1" x14ac:dyDescent="0.3">
      <c r="A55">
        <v>-3.2820842978001381</v>
      </c>
    </row>
    <row r="56" spans="1:1" x14ac:dyDescent="0.3">
      <c r="A56">
        <v>-2.4597685320169149</v>
      </c>
    </row>
    <row r="57" spans="1:1" x14ac:dyDescent="0.3">
      <c r="A57">
        <v>-1.158782153417323</v>
      </c>
    </row>
    <row r="58" spans="1:1" x14ac:dyDescent="0.3">
      <c r="A58">
        <v>0.83666996542293515</v>
      </c>
    </row>
    <row r="59" spans="1:1" x14ac:dyDescent="0.3">
      <c r="A59">
        <v>-0.18768444814764049</v>
      </c>
    </row>
    <row r="60" spans="1:1" x14ac:dyDescent="0.3">
      <c r="A60">
        <v>1.4745305151539481</v>
      </c>
    </row>
    <row r="61" spans="1:1" x14ac:dyDescent="0.3">
      <c r="A61">
        <v>-0.12563718708664659</v>
      </c>
    </row>
    <row r="62" spans="1:1" x14ac:dyDescent="0.3">
      <c r="A62">
        <v>0.5686424333721547</v>
      </c>
    </row>
    <row r="63" spans="1:1" x14ac:dyDescent="0.3">
      <c r="A63">
        <v>2.9470407740783648</v>
      </c>
    </row>
    <row r="64" spans="1:1" x14ac:dyDescent="0.3">
      <c r="A64">
        <v>2.028168152051018</v>
      </c>
    </row>
    <row r="65" spans="1:1" x14ac:dyDescent="0.3">
      <c r="A65">
        <v>0.7500841267737548</v>
      </c>
    </row>
    <row r="66" spans="1:1" x14ac:dyDescent="0.3">
      <c r="A66">
        <v>0.51745413303065368</v>
      </c>
    </row>
    <row r="67" spans="1:1" x14ac:dyDescent="0.3">
      <c r="A67">
        <v>2.1393023412648842</v>
      </c>
    </row>
    <row r="68" spans="1:1" x14ac:dyDescent="0.3">
      <c r="A68">
        <v>0.35890390213451001</v>
      </c>
    </row>
    <row r="69" spans="1:1" x14ac:dyDescent="0.3">
      <c r="A69">
        <v>1.61905991091742</v>
      </c>
    </row>
    <row r="70" spans="1:1" x14ac:dyDescent="0.3">
      <c r="A70">
        <v>2.4629067284245538</v>
      </c>
    </row>
    <row r="71" spans="1:1" x14ac:dyDescent="0.3">
      <c r="A71">
        <v>2.0605075071010051</v>
      </c>
    </row>
    <row r="72" spans="1:1" x14ac:dyDescent="0.3">
      <c r="A72">
        <v>1.4492480934126619</v>
      </c>
    </row>
    <row r="73" spans="1:1" x14ac:dyDescent="0.3">
      <c r="A73">
        <v>0.559004927227435</v>
      </c>
    </row>
    <row r="74" spans="1:1" x14ac:dyDescent="0.3">
      <c r="A74">
        <v>2.47795161852713E-2</v>
      </c>
    </row>
    <row r="75" spans="1:1" x14ac:dyDescent="0.3">
      <c r="A75">
        <v>0.66563222883283779</v>
      </c>
    </row>
    <row r="76" spans="1:1" x14ac:dyDescent="0.3">
      <c r="A76">
        <v>2.53621342151393</v>
      </c>
    </row>
    <row r="77" spans="1:1" x14ac:dyDescent="0.3">
      <c r="A77">
        <v>1.6219509825927809</v>
      </c>
    </row>
    <row r="78" spans="1:1" x14ac:dyDescent="0.3">
      <c r="A78">
        <v>-0.25533525888654468</v>
      </c>
    </row>
    <row r="79" spans="1:1" x14ac:dyDescent="0.3">
      <c r="A79">
        <v>-0.9023164583307357</v>
      </c>
    </row>
    <row r="80" spans="1:1" x14ac:dyDescent="0.3">
      <c r="A80">
        <v>-0.37335975866366161</v>
      </c>
    </row>
    <row r="81" spans="1:1" x14ac:dyDescent="0.3">
      <c r="A81">
        <v>-0.57841094602576204</v>
      </c>
    </row>
    <row r="82" spans="1:1" x14ac:dyDescent="0.3">
      <c r="A82">
        <v>-0.5826776198823278</v>
      </c>
    </row>
    <row r="83" spans="1:1" x14ac:dyDescent="0.3">
      <c r="A83">
        <v>-0.5778684107721701</v>
      </c>
    </row>
    <row r="84" spans="1:1" x14ac:dyDescent="0.3">
      <c r="A84">
        <v>-1.776809773417213</v>
      </c>
    </row>
    <row r="85" spans="1:1" x14ac:dyDescent="0.3">
      <c r="A85">
        <v>-1.4175540118060821</v>
      </c>
    </row>
    <row r="86" spans="1:1" x14ac:dyDescent="0.3">
      <c r="A86">
        <v>-0.1420555511423732</v>
      </c>
    </row>
    <row r="87" spans="1:1" x14ac:dyDescent="0.3">
      <c r="A87">
        <v>0.59816982586859169</v>
      </c>
    </row>
    <row r="88" spans="1:1" x14ac:dyDescent="0.3">
      <c r="A88">
        <v>0.96871622919911538</v>
      </c>
    </row>
    <row r="89" spans="1:1" x14ac:dyDescent="0.3">
      <c r="A89">
        <v>0.275369384991758</v>
      </c>
    </row>
    <row r="90" spans="1:1" x14ac:dyDescent="0.3">
      <c r="A90">
        <v>1.1647990157538091E-3</v>
      </c>
    </row>
    <row r="91" spans="1:1" x14ac:dyDescent="0.3">
      <c r="A91">
        <v>-1.193712520291486</v>
      </c>
    </row>
    <row r="92" spans="1:1" x14ac:dyDescent="0.3">
      <c r="A92">
        <v>-0.88875758294736384</v>
      </c>
    </row>
    <row r="93" spans="1:1" x14ac:dyDescent="0.3">
      <c r="A93">
        <v>-0.36693430706732122</v>
      </c>
    </row>
    <row r="94" spans="1:1" x14ac:dyDescent="0.3">
      <c r="A94">
        <v>1.44910999229295</v>
      </c>
    </row>
    <row r="95" spans="1:1" x14ac:dyDescent="0.3">
      <c r="A95">
        <v>2.0158902469685129</v>
      </c>
    </row>
    <row r="96" spans="1:1" x14ac:dyDescent="0.3">
      <c r="A96">
        <v>0.91553972987649912</v>
      </c>
    </row>
    <row r="97" spans="1:1" x14ac:dyDescent="0.3">
      <c r="A97">
        <v>0.99642810791329839</v>
      </c>
    </row>
    <row r="98" spans="1:1" x14ac:dyDescent="0.3">
      <c r="A98">
        <v>-0.43710836799453912</v>
      </c>
    </row>
    <row r="99" spans="1:1" x14ac:dyDescent="0.3">
      <c r="A99">
        <v>0.57222776935611419</v>
      </c>
    </row>
    <row r="100" spans="1:1" x14ac:dyDescent="0.3">
      <c r="A100">
        <v>1.3734761919254019</v>
      </c>
    </row>
    <row r="101" spans="1:1" x14ac:dyDescent="0.3">
      <c r="A101">
        <v>3.0825504397234571</v>
      </c>
    </row>
    <row r="102" spans="1:1" x14ac:dyDescent="0.3">
      <c r="A102">
        <v>2.572308842181406</v>
      </c>
    </row>
    <row r="103" spans="1:1" x14ac:dyDescent="0.3">
      <c r="A103">
        <v>1.325897715997624</v>
      </c>
    </row>
    <row r="104" spans="1:1" x14ac:dyDescent="0.3">
      <c r="A104">
        <v>0.99412189490279779</v>
      </c>
    </row>
    <row r="105" spans="1:1" x14ac:dyDescent="0.3">
      <c r="A105">
        <v>0.1934075440380924</v>
      </c>
    </row>
    <row r="106" spans="1:1" x14ac:dyDescent="0.3">
      <c r="A106">
        <v>-0.69061330630267093</v>
      </c>
    </row>
    <row r="107" spans="1:1" x14ac:dyDescent="0.3">
      <c r="A107">
        <v>-0.31644003465888593</v>
      </c>
    </row>
    <row r="108" spans="1:1" x14ac:dyDescent="0.3">
      <c r="A108">
        <v>-1.1177726505059791</v>
      </c>
    </row>
    <row r="109" spans="1:1" x14ac:dyDescent="0.3">
      <c r="A109">
        <v>-0.61425546769842798</v>
      </c>
    </row>
    <row r="110" spans="1:1" x14ac:dyDescent="0.3">
      <c r="A110">
        <v>-7.5010566374045129E-2</v>
      </c>
    </row>
    <row r="111" spans="1:1" x14ac:dyDescent="0.3">
      <c r="A111">
        <v>-0.1046125133329652</v>
      </c>
    </row>
    <row r="112" spans="1:1" x14ac:dyDescent="0.3">
      <c r="A112">
        <v>-0.26916337804932883</v>
      </c>
    </row>
    <row r="113" spans="1:1" x14ac:dyDescent="0.3">
      <c r="A113">
        <v>-0.83748411624029051</v>
      </c>
    </row>
    <row r="114" spans="1:1" x14ac:dyDescent="0.3">
      <c r="A114">
        <v>-1.696006112766935</v>
      </c>
    </row>
    <row r="115" spans="1:1" x14ac:dyDescent="0.3">
      <c r="A115">
        <v>-0.33793007628179628</v>
      </c>
    </row>
    <row r="116" spans="1:1" x14ac:dyDescent="0.3">
      <c r="A116">
        <v>-0.21418852732123331</v>
      </c>
    </row>
    <row r="117" spans="1:1" x14ac:dyDescent="0.3">
      <c r="A117">
        <v>0.68120864818197202</v>
      </c>
    </row>
    <row r="118" spans="1:1" x14ac:dyDescent="0.3">
      <c r="A118">
        <v>-0.76744179761684728</v>
      </c>
    </row>
    <row r="119" spans="1:1" x14ac:dyDescent="0.3">
      <c r="A119">
        <v>-0.36818284456561778</v>
      </c>
    </row>
    <row r="120" spans="1:1" x14ac:dyDescent="0.3">
      <c r="A120">
        <v>0.41543831575174689</v>
      </c>
    </row>
    <row r="121" spans="1:1" x14ac:dyDescent="0.3">
      <c r="A121">
        <v>0.2645304445776967</v>
      </c>
    </row>
    <row r="122" spans="1:1" x14ac:dyDescent="0.3">
      <c r="A122">
        <v>-6.2208573516361054E-3</v>
      </c>
    </row>
    <row r="123" spans="1:1" x14ac:dyDescent="0.3">
      <c r="A123">
        <v>-0.78626124684602172</v>
      </c>
    </row>
    <row r="124" spans="1:1" x14ac:dyDescent="0.3">
      <c r="A124">
        <v>1.5077791149712749</v>
      </c>
    </row>
    <row r="125" spans="1:1" x14ac:dyDescent="0.3">
      <c r="A125">
        <v>1.8059468336357229</v>
      </c>
    </row>
    <row r="126" spans="1:1" x14ac:dyDescent="0.3">
      <c r="A126">
        <v>3.088371085923296</v>
      </c>
    </row>
    <row r="127" spans="1:1" x14ac:dyDescent="0.3">
      <c r="A127">
        <v>2.2419194012382939</v>
      </c>
    </row>
    <row r="128" spans="1:1" x14ac:dyDescent="0.3">
      <c r="A128">
        <v>0.93793428190044015</v>
      </c>
    </row>
    <row r="129" spans="1:1" x14ac:dyDescent="0.3">
      <c r="A129">
        <v>-0.85673412270341909</v>
      </c>
    </row>
    <row r="130" spans="1:1" x14ac:dyDescent="0.3">
      <c r="A130">
        <v>-1.235813716977445</v>
      </c>
    </row>
    <row r="131" spans="1:1" x14ac:dyDescent="0.3">
      <c r="A131">
        <v>-0.63876806938705033</v>
      </c>
    </row>
    <row r="132" spans="1:1" x14ac:dyDescent="0.3">
      <c r="A132">
        <v>0.56655269889481319</v>
      </c>
    </row>
    <row r="133" spans="1:1" x14ac:dyDescent="0.3">
      <c r="A133">
        <v>0.64933702429271101</v>
      </c>
    </row>
    <row r="134" spans="1:1" x14ac:dyDescent="0.3">
      <c r="A134">
        <v>-0.71741239583622307</v>
      </c>
    </row>
    <row r="135" spans="1:1" x14ac:dyDescent="0.3">
      <c r="A135">
        <v>0.16652565143967751</v>
      </c>
    </row>
    <row r="136" spans="1:1" x14ac:dyDescent="0.3">
      <c r="A136">
        <v>-1.533532978836587</v>
      </c>
    </row>
    <row r="137" spans="1:1" x14ac:dyDescent="0.3">
      <c r="A137">
        <v>-1.4393253333775109</v>
      </c>
    </row>
    <row r="138" spans="1:1" x14ac:dyDescent="0.3">
      <c r="A138">
        <v>-1.323646062197338</v>
      </c>
    </row>
    <row r="139" spans="1:1" x14ac:dyDescent="0.3">
      <c r="A139">
        <v>-2.8747982908595051</v>
      </c>
    </row>
    <row r="140" spans="1:1" x14ac:dyDescent="0.3">
      <c r="A140">
        <v>-1.092301281210748</v>
      </c>
    </row>
    <row r="141" spans="1:1" x14ac:dyDescent="0.3">
      <c r="A141">
        <v>-1.387482491726399</v>
      </c>
    </row>
    <row r="142" spans="1:1" x14ac:dyDescent="0.3">
      <c r="A142">
        <v>-1.3052743942059379</v>
      </c>
    </row>
    <row r="143" spans="1:1" x14ac:dyDescent="0.3">
      <c r="A143">
        <v>0.48145581658546671</v>
      </c>
    </row>
    <row r="144" spans="1:1" x14ac:dyDescent="0.3">
      <c r="A144">
        <v>0.97369348264877664</v>
      </c>
    </row>
    <row r="145" spans="1:1" x14ac:dyDescent="0.3">
      <c r="A145">
        <v>0.57315374086376092</v>
      </c>
    </row>
    <row r="146" spans="1:1" x14ac:dyDescent="0.3">
      <c r="A146">
        <v>0.91497039700930616</v>
      </c>
    </row>
    <row r="147" spans="1:1" x14ac:dyDescent="0.3">
      <c r="A147">
        <v>1.039751085180473</v>
      </c>
    </row>
    <row r="148" spans="1:1" x14ac:dyDescent="0.3">
      <c r="A148">
        <v>2.3906822070567362</v>
      </c>
    </row>
    <row r="149" spans="1:1" x14ac:dyDescent="0.3">
      <c r="A149">
        <v>1.949370948525198</v>
      </c>
    </row>
    <row r="150" spans="1:1" x14ac:dyDescent="0.3">
      <c r="A150">
        <v>1.870832287175326</v>
      </c>
    </row>
    <row r="151" spans="1:1" x14ac:dyDescent="0.3">
      <c r="A151">
        <v>1.6571345760465399</v>
      </c>
    </row>
    <row r="152" spans="1:1" x14ac:dyDescent="0.3">
      <c r="A152">
        <v>0.78275655573626435</v>
      </c>
    </row>
    <row r="153" spans="1:1" x14ac:dyDescent="0.3">
      <c r="A153">
        <v>0.64554905212462244</v>
      </c>
    </row>
    <row r="154" spans="1:1" x14ac:dyDescent="0.3">
      <c r="A154">
        <v>2.090628981608964</v>
      </c>
    </row>
    <row r="155" spans="1:1" x14ac:dyDescent="0.3">
      <c r="A155">
        <v>0.58784781293670563</v>
      </c>
    </row>
    <row r="156" spans="1:1" x14ac:dyDescent="0.3">
      <c r="A156">
        <v>0.53325346769673976</v>
      </c>
    </row>
    <row r="157" spans="1:1" x14ac:dyDescent="0.3">
      <c r="A157">
        <v>1.7354080882327001</v>
      </c>
    </row>
    <row r="158" spans="1:1" x14ac:dyDescent="0.3">
      <c r="A158">
        <v>0.98016457484017949</v>
      </c>
    </row>
    <row r="159" spans="1:1" x14ac:dyDescent="0.3">
      <c r="A159">
        <v>-0.36726760555496041</v>
      </c>
    </row>
    <row r="160" spans="1:1" x14ac:dyDescent="0.3">
      <c r="A160">
        <v>-1.1268709295243839</v>
      </c>
    </row>
    <row r="161" spans="1:1" x14ac:dyDescent="0.3">
      <c r="A161">
        <v>-1.1789366803141239</v>
      </c>
    </row>
    <row r="162" spans="1:1" x14ac:dyDescent="0.3">
      <c r="A162">
        <v>-1.6726057493494579</v>
      </c>
    </row>
    <row r="163" spans="1:1" x14ac:dyDescent="0.3">
      <c r="A163">
        <v>-1.4314634166440201</v>
      </c>
    </row>
    <row r="164" spans="1:1" x14ac:dyDescent="0.3">
      <c r="A164">
        <v>-1.4164440979927071</v>
      </c>
    </row>
    <row r="165" spans="1:1" x14ac:dyDescent="0.3">
      <c r="A165">
        <v>-1.174561666314329</v>
      </c>
    </row>
    <row r="166" spans="1:1" x14ac:dyDescent="0.3">
      <c r="A166">
        <v>-0.41513706853945231</v>
      </c>
    </row>
    <row r="167" spans="1:1" x14ac:dyDescent="0.3">
      <c r="A167">
        <v>0.33403718022452999</v>
      </c>
    </row>
    <row r="168" spans="1:1" x14ac:dyDescent="0.3">
      <c r="A168">
        <v>1.9120317698618829</v>
      </c>
    </row>
    <row r="169" spans="1:1" x14ac:dyDescent="0.3">
      <c r="A169">
        <v>1.2697285853383271</v>
      </c>
    </row>
    <row r="170" spans="1:1" x14ac:dyDescent="0.3">
      <c r="A170">
        <v>0.56797009707865165</v>
      </c>
    </row>
    <row r="171" spans="1:1" x14ac:dyDescent="0.3">
      <c r="A171">
        <v>1.868584785003961</v>
      </c>
    </row>
    <row r="172" spans="1:1" x14ac:dyDescent="0.3">
      <c r="A172">
        <v>3.0123387473298711</v>
      </c>
    </row>
    <row r="173" spans="1:1" x14ac:dyDescent="0.3">
      <c r="A173">
        <v>2.1518811606884389</v>
      </c>
    </row>
    <row r="174" spans="1:1" x14ac:dyDescent="0.3">
      <c r="A174">
        <v>1.1736594933483879</v>
      </c>
    </row>
    <row r="175" spans="1:1" x14ac:dyDescent="0.3">
      <c r="A175">
        <v>-1.000673772219224</v>
      </c>
    </row>
    <row r="176" spans="1:1" x14ac:dyDescent="0.3">
      <c r="A176">
        <v>0.71079075819332349</v>
      </c>
    </row>
    <row r="177" spans="1:1" x14ac:dyDescent="0.3">
      <c r="A177">
        <v>-0.34002890334153463</v>
      </c>
    </row>
    <row r="178" spans="1:1" x14ac:dyDescent="0.3">
      <c r="A178">
        <v>-1.3617830267343909</v>
      </c>
    </row>
    <row r="179" spans="1:1" x14ac:dyDescent="0.3">
      <c r="A179">
        <v>2.0905177673812139</v>
      </c>
    </row>
    <row r="180" spans="1:1" x14ac:dyDescent="0.3">
      <c r="A180">
        <v>1.698383745417521</v>
      </c>
    </row>
    <row r="181" spans="1:1" x14ac:dyDescent="0.3">
      <c r="A181">
        <v>1.1556100116789589</v>
      </c>
    </row>
    <row r="182" spans="1:1" x14ac:dyDescent="0.3">
      <c r="A182">
        <v>-1.923292514780532</v>
      </c>
    </row>
    <row r="183" spans="1:1" x14ac:dyDescent="0.3">
      <c r="A183">
        <v>-1.4460953487882691</v>
      </c>
    </row>
    <row r="184" spans="1:1" x14ac:dyDescent="0.3">
      <c r="A184">
        <v>-3.6235009229391713E-2</v>
      </c>
    </row>
    <row r="185" spans="1:1" x14ac:dyDescent="0.3">
      <c r="A185">
        <v>0.38850440899052308</v>
      </c>
    </row>
    <row r="186" spans="1:1" x14ac:dyDescent="0.3">
      <c r="A186">
        <v>1.1842752479034799</v>
      </c>
    </row>
    <row r="187" spans="1:1" x14ac:dyDescent="0.3">
      <c r="A187">
        <v>2.8127248742168209</v>
      </c>
    </row>
    <row r="188" spans="1:1" x14ac:dyDescent="0.3">
      <c r="A188">
        <v>3.138015925965401</v>
      </c>
    </row>
    <row r="189" spans="1:1" x14ac:dyDescent="0.3">
      <c r="A189">
        <v>1.6878741327605611</v>
      </c>
    </row>
    <row r="190" spans="1:1" x14ac:dyDescent="0.3">
      <c r="A190">
        <v>1.8856920713979051</v>
      </c>
    </row>
    <row r="191" spans="1:1" x14ac:dyDescent="0.3">
      <c r="A191">
        <v>1.121568176156454</v>
      </c>
    </row>
    <row r="192" spans="1:1" x14ac:dyDescent="0.3">
      <c r="A192">
        <v>0.24702693442465529</v>
      </c>
    </row>
    <row r="193" spans="1:1" x14ac:dyDescent="0.3">
      <c r="A193">
        <v>-2.6828398009219758</v>
      </c>
    </row>
    <row r="194" spans="1:1" x14ac:dyDescent="0.3">
      <c r="A194">
        <v>-2.6676347129091438</v>
      </c>
    </row>
    <row r="195" spans="1:1" x14ac:dyDescent="0.3">
      <c r="A195">
        <v>-1.3795296638727159</v>
      </c>
    </row>
    <row r="196" spans="1:1" x14ac:dyDescent="0.3">
      <c r="A196">
        <v>1.2023617748084261</v>
      </c>
    </row>
    <row r="197" spans="1:1" x14ac:dyDescent="0.3">
      <c r="A197">
        <v>1.342347856646684</v>
      </c>
    </row>
    <row r="198" spans="1:1" x14ac:dyDescent="0.3">
      <c r="A198">
        <v>1.559853703319998</v>
      </c>
    </row>
    <row r="199" spans="1:1" x14ac:dyDescent="0.3">
      <c r="A199">
        <v>0.12599438219042339</v>
      </c>
    </row>
    <row r="200" spans="1:1" x14ac:dyDescent="0.3">
      <c r="A200">
        <v>0.25085077565156128</v>
      </c>
    </row>
    <row r="201" spans="1:1" x14ac:dyDescent="0.3">
      <c r="A201">
        <v>-1.9026419989312839</v>
      </c>
    </row>
    <row r="202" spans="1:1" x14ac:dyDescent="0.3">
      <c r="A202">
        <v>-0.84662257868264623</v>
      </c>
    </row>
    <row r="203" spans="1:1" x14ac:dyDescent="0.3">
      <c r="A203">
        <v>0.1041329734870603</v>
      </c>
    </row>
    <row r="204" spans="1:1" x14ac:dyDescent="0.3">
      <c r="A204">
        <v>0.25840699702399927</v>
      </c>
    </row>
    <row r="205" spans="1:1" x14ac:dyDescent="0.3">
      <c r="A205">
        <v>0.88161841346126057</v>
      </c>
    </row>
    <row r="206" spans="1:1" x14ac:dyDescent="0.3">
      <c r="A206">
        <v>0.92881391808424163</v>
      </c>
    </row>
    <row r="207" spans="1:1" x14ac:dyDescent="0.3">
      <c r="A207">
        <v>1.4106321046268071</v>
      </c>
    </row>
    <row r="208" spans="1:1" x14ac:dyDescent="0.3">
      <c r="A208">
        <v>2.829906099446426</v>
      </c>
    </row>
    <row r="209" spans="1:1" x14ac:dyDescent="0.3">
      <c r="A209">
        <v>3.0932971108750942</v>
      </c>
    </row>
    <row r="210" spans="1:1" x14ac:dyDescent="0.3">
      <c r="A210">
        <v>2.1979719351140101</v>
      </c>
    </row>
    <row r="211" spans="1:1" x14ac:dyDescent="0.3">
      <c r="A211">
        <v>0.42413138978244241</v>
      </c>
    </row>
    <row r="212" spans="1:1" x14ac:dyDescent="0.3">
      <c r="A212">
        <v>0.71494979523279256</v>
      </c>
    </row>
    <row r="213" spans="1:1" x14ac:dyDescent="0.3">
      <c r="A213">
        <v>0.1002296193197917</v>
      </c>
    </row>
    <row r="214" spans="1:1" x14ac:dyDescent="0.3">
      <c r="A214">
        <v>1.563653836141335</v>
      </c>
    </row>
    <row r="215" spans="1:1" x14ac:dyDescent="0.3">
      <c r="A215">
        <v>-0.51252325455078229</v>
      </c>
    </row>
    <row r="216" spans="1:1" x14ac:dyDescent="0.3">
      <c r="A216">
        <v>-0.7745180665870629</v>
      </c>
    </row>
    <row r="217" spans="1:1" x14ac:dyDescent="0.3">
      <c r="A217">
        <v>-0.12015427339352409</v>
      </c>
    </row>
    <row r="218" spans="1:1" x14ac:dyDescent="0.3">
      <c r="A218">
        <v>-0.23584452791044411</v>
      </c>
    </row>
    <row r="219" spans="1:1" x14ac:dyDescent="0.3">
      <c r="A219">
        <v>-0.77124228480153045</v>
      </c>
    </row>
    <row r="220" spans="1:1" x14ac:dyDescent="0.3">
      <c r="A220">
        <v>-0.84459066832778529</v>
      </c>
    </row>
    <row r="221" spans="1:1" x14ac:dyDescent="0.3">
      <c r="A221">
        <v>3.8322632055021962E-2</v>
      </c>
    </row>
    <row r="222" spans="1:1" x14ac:dyDescent="0.3">
      <c r="A222">
        <v>0.92199782271405406</v>
      </c>
    </row>
    <row r="223" spans="1:1" x14ac:dyDescent="0.3">
      <c r="A223">
        <v>1.305611107720243</v>
      </c>
    </row>
    <row r="224" spans="1:1" x14ac:dyDescent="0.3">
      <c r="A224">
        <v>3.1874112958516498</v>
      </c>
    </row>
    <row r="225" spans="1:1" x14ac:dyDescent="0.3">
      <c r="A225">
        <v>3.404685479728546</v>
      </c>
    </row>
    <row r="226" spans="1:1" x14ac:dyDescent="0.3">
      <c r="A226">
        <v>2.67098956412377</v>
      </c>
    </row>
    <row r="227" spans="1:1" x14ac:dyDescent="0.3">
      <c r="A227">
        <v>1.209922601065333</v>
      </c>
    </row>
    <row r="228" spans="1:1" x14ac:dyDescent="0.3">
      <c r="A228">
        <v>3.7660859514633489</v>
      </c>
    </row>
    <row r="229" spans="1:1" x14ac:dyDescent="0.3">
      <c r="A229">
        <v>3.3136756664626721</v>
      </c>
    </row>
    <row r="230" spans="1:1" x14ac:dyDescent="0.3">
      <c r="A230">
        <v>1.635252622387863</v>
      </c>
    </row>
    <row r="231" spans="1:1" x14ac:dyDescent="0.3">
      <c r="A231">
        <v>1.3311689187524749</v>
      </c>
    </row>
    <row r="232" spans="1:1" x14ac:dyDescent="0.3">
      <c r="A232">
        <v>0.60742494264307489</v>
      </c>
    </row>
    <row r="233" spans="1:1" x14ac:dyDescent="0.3">
      <c r="A233">
        <v>0.15049324162434599</v>
      </c>
    </row>
    <row r="234" spans="1:1" x14ac:dyDescent="0.3">
      <c r="A234">
        <v>-0.82815807145282549</v>
      </c>
    </row>
    <row r="235" spans="1:1" x14ac:dyDescent="0.3">
      <c r="A235">
        <v>-0.46286530503089629</v>
      </c>
    </row>
    <row r="236" spans="1:1" x14ac:dyDescent="0.3">
      <c r="A236">
        <v>-4.8454748735102804E-3</v>
      </c>
    </row>
    <row r="237" spans="1:1" x14ac:dyDescent="0.3">
      <c r="A237">
        <v>-1.080933955170887</v>
      </c>
    </row>
    <row r="238" spans="1:1" x14ac:dyDescent="0.3">
      <c r="A238">
        <v>-3.9898059015427578</v>
      </c>
    </row>
    <row r="239" spans="1:1" x14ac:dyDescent="0.3">
      <c r="A239">
        <v>-3.0477387837344652</v>
      </c>
    </row>
    <row r="240" spans="1:1" x14ac:dyDescent="0.3">
      <c r="A240">
        <v>-2.1038993182926449</v>
      </c>
    </row>
    <row r="241" spans="1:1" x14ac:dyDescent="0.3">
      <c r="A241">
        <v>-0.87845574869433907</v>
      </c>
    </row>
    <row r="242" spans="1:1" x14ac:dyDescent="0.3">
      <c r="A242">
        <v>-0.55578385590724044</v>
      </c>
    </row>
    <row r="243" spans="1:1" x14ac:dyDescent="0.3">
      <c r="A243">
        <v>2.4350195601977272E-2</v>
      </c>
    </row>
    <row r="244" spans="1:1" x14ac:dyDescent="0.3">
      <c r="A244">
        <v>-1.080727037649037</v>
      </c>
    </row>
    <row r="245" spans="1:1" x14ac:dyDescent="0.3">
      <c r="A245">
        <v>-4.5333669083885142E-2</v>
      </c>
    </row>
    <row r="246" spans="1:1" x14ac:dyDescent="0.3">
      <c r="A246">
        <v>0.68715516149542322</v>
      </c>
    </row>
    <row r="247" spans="1:1" x14ac:dyDescent="0.3">
      <c r="A247">
        <v>0.73265968207576382</v>
      </c>
    </row>
    <row r="248" spans="1:1" x14ac:dyDescent="0.3">
      <c r="A248">
        <v>1.870136213604809</v>
      </c>
    </row>
    <row r="249" spans="1:1" x14ac:dyDescent="0.3">
      <c r="A249">
        <v>1.713563820801973</v>
      </c>
    </row>
    <row r="250" spans="1:1" x14ac:dyDescent="0.3">
      <c r="A250">
        <v>1.46385894439932</v>
      </c>
    </row>
    <row r="251" spans="1:1" x14ac:dyDescent="0.3">
      <c r="A251">
        <v>1.2927451652232209</v>
      </c>
    </row>
    <row r="252" spans="1:1" x14ac:dyDescent="0.3">
      <c r="A252">
        <v>1.3418521926957381</v>
      </c>
    </row>
    <row r="253" spans="1:1" x14ac:dyDescent="0.3">
      <c r="A253">
        <v>1.9994204403743809</v>
      </c>
    </row>
    <row r="254" spans="1:1" x14ac:dyDescent="0.3">
      <c r="A254">
        <v>1.8517847047907821</v>
      </c>
    </row>
    <row r="255" spans="1:1" x14ac:dyDescent="0.3">
      <c r="A255">
        <v>1.9594479090406121</v>
      </c>
    </row>
    <row r="256" spans="1:1" x14ac:dyDescent="0.3">
      <c r="A256">
        <v>0.2352399823375933</v>
      </c>
    </row>
    <row r="257" spans="1:1" x14ac:dyDescent="0.3">
      <c r="A257">
        <v>-0.20582952945580191</v>
      </c>
    </row>
    <row r="258" spans="1:1" x14ac:dyDescent="0.3">
      <c r="A258">
        <v>1.332888919173409</v>
      </c>
    </row>
    <row r="259" spans="1:1" x14ac:dyDescent="0.3">
      <c r="A259">
        <v>-0.29088150709236987</v>
      </c>
    </row>
    <row r="260" spans="1:1" x14ac:dyDescent="0.3">
      <c r="A260">
        <v>5.445133243144662E-2</v>
      </c>
    </row>
    <row r="261" spans="1:1" x14ac:dyDescent="0.3">
      <c r="A261">
        <v>0.4431187381355291</v>
      </c>
    </row>
    <row r="262" spans="1:1" x14ac:dyDescent="0.3">
      <c r="A262">
        <v>1.28598643850432</v>
      </c>
    </row>
    <row r="263" spans="1:1" x14ac:dyDescent="0.3">
      <c r="A263">
        <v>0.55131377041311525</v>
      </c>
    </row>
    <row r="264" spans="1:1" x14ac:dyDescent="0.3">
      <c r="A264">
        <v>0.544545078780443</v>
      </c>
    </row>
    <row r="265" spans="1:1" x14ac:dyDescent="0.3">
      <c r="A265">
        <v>-1.3820735113948439</v>
      </c>
    </row>
    <row r="266" spans="1:1" x14ac:dyDescent="0.3">
      <c r="A266">
        <v>-0.62885541087648522</v>
      </c>
    </row>
    <row r="267" spans="1:1" x14ac:dyDescent="0.3">
      <c r="A267">
        <v>-1.1067638171728129</v>
      </c>
    </row>
    <row r="268" spans="1:1" x14ac:dyDescent="0.3">
      <c r="A268">
        <v>-1.0133812963486131</v>
      </c>
    </row>
    <row r="269" spans="1:1" x14ac:dyDescent="0.3">
      <c r="A269">
        <v>-1.897132189901223</v>
      </c>
    </row>
    <row r="270" spans="1:1" x14ac:dyDescent="0.3">
      <c r="A270">
        <v>-0.94305721116227759</v>
      </c>
    </row>
    <row r="271" spans="1:1" x14ac:dyDescent="0.3">
      <c r="A271">
        <v>6.4394678408853379E-3</v>
      </c>
    </row>
    <row r="272" spans="1:1" x14ac:dyDescent="0.3">
      <c r="A272">
        <v>-0.30010626196911561</v>
      </c>
    </row>
    <row r="273" spans="1:1" x14ac:dyDescent="0.3">
      <c r="A273">
        <v>1.6149366807079151</v>
      </c>
    </row>
    <row r="274" spans="1:1" x14ac:dyDescent="0.3">
      <c r="A274">
        <v>1.8010150470631281</v>
      </c>
    </row>
    <row r="275" spans="1:1" x14ac:dyDescent="0.3">
      <c r="A275">
        <v>2.2093431061993418</v>
      </c>
    </row>
    <row r="276" spans="1:1" x14ac:dyDescent="0.3">
      <c r="A276">
        <v>3.5959431760104499</v>
      </c>
    </row>
    <row r="277" spans="1:1" x14ac:dyDescent="0.3">
      <c r="A277">
        <v>1.86604661396978</v>
      </c>
    </row>
    <row r="278" spans="1:1" x14ac:dyDescent="0.3">
      <c r="A278">
        <v>2.1148519026251389</v>
      </c>
    </row>
    <row r="279" spans="1:1" x14ac:dyDescent="0.3">
      <c r="A279">
        <v>2.46697694579216</v>
      </c>
    </row>
    <row r="280" spans="1:1" x14ac:dyDescent="0.3">
      <c r="A280">
        <v>1.7207130659638119</v>
      </c>
    </row>
    <row r="281" spans="1:1" x14ac:dyDescent="0.3">
      <c r="A281">
        <v>1.5235515041065799</v>
      </c>
    </row>
    <row r="282" spans="1:1" x14ac:dyDescent="0.3">
      <c r="A282">
        <v>5.4664150132761817E-2</v>
      </c>
    </row>
    <row r="283" spans="1:1" x14ac:dyDescent="0.3">
      <c r="A283">
        <v>0.50843245281932214</v>
      </c>
    </row>
    <row r="284" spans="1:1" x14ac:dyDescent="0.3">
      <c r="A284">
        <v>-0.34506761465557201</v>
      </c>
    </row>
    <row r="285" spans="1:1" x14ac:dyDescent="0.3">
      <c r="A285">
        <v>0.57213553226759095</v>
      </c>
    </row>
    <row r="286" spans="1:1" x14ac:dyDescent="0.3">
      <c r="A286">
        <v>-0.4109359114054586</v>
      </c>
    </row>
    <row r="287" spans="1:1" x14ac:dyDescent="0.3">
      <c r="A287">
        <v>3.1742349115639279E-2</v>
      </c>
    </row>
    <row r="288" spans="1:1" x14ac:dyDescent="0.3">
      <c r="A288">
        <v>-0.82430300878267693</v>
      </c>
    </row>
    <row r="289" spans="1:1" x14ac:dyDescent="0.3">
      <c r="A289">
        <v>-0.82277528527660637</v>
      </c>
    </row>
    <row r="290" spans="1:1" x14ac:dyDescent="0.3">
      <c r="A290">
        <v>-2.128801710799086</v>
      </c>
    </row>
    <row r="291" spans="1:1" x14ac:dyDescent="0.3">
      <c r="A291">
        <v>-1.361727164633606</v>
      </c>
    </row>
    <row r="292" spans="1:1" x14ac:dyDescent="0.3">
      <c r="A292">
        <v>3.2234374161343123E-2</v>
      </c>
    </row>
    <row r="293" spans="1:1" x14ac:dyDescent="0.3">
      <c r="A293">
        <v>0.20581158498013161</v>
      </c>
    </row>
    <row r="294" spans="1:1" x14ac:dyDescent="0.3">
      <c r="A294">
        <v>-1.6221611039443671</v>
      </c>
    </row>
    <row r="295" spans="1:1" x14ac:dyDescent="0.3">
      <c r="A295">
        <v>-1.7560464693769999</v>
      </c>
    </row>
    <row r="296" spans="1:1" x14ac:dyDescent="0.3">
      <c r="A296">
        <v>0.4268105084348357</v>
      </c>
    </row>
    <row r="297" spans="1:1" x14ac:dyDescent="0.3">
      <c r="A297">
        <v>2.1085727414882611</v>
      </c>
    </row>
    <row r="298" spans="1:1" x14ac:dyDescent="0.3">
      <c r="A298">
        <v>0.30096415102964752</v>
      </c>
    </row>
    <row r="299" spans="1:1" x14ac:dyDescent="0.3">
      <c r="A299">
        <v>-0.1560283531068879</v>
      </c>
    </row>
    <row r="300" spans="1:1" x14ac:dyDescent="0.3">
      <c r="A300">
        <v>0.2444056017524652</v>
      </c>
    </row>
    <row r="301" spans="1:1" x14ac:dyDescent="0.3">
      <c r="A301">
        <v>0.49024014209462319</v>
      </c>
    </row>
    <row r="302" spans="1:1" x14ac:dyDescent="0.3">
      <c r="A302">
        <v>-0.23678888955316529</v>
      </c>
    </row>
    <row r="303" spans="1:1" x14ac:dyDescent="0.3">
      <c r="A303">
        <v>-1.1190309246341219</v>
      </c>
    </row>
    <row r="304" spans="1:1" x14ac:dyDescent="0.3">
      <c r="A304">
        <v>-0.96275023418950667</v>
      </c>
    </row>
    <row r="305" spans="1:1" x14ac:dyDescent="0.3">
      <c r="A305">
        <v>0.33588305101164861</v>
      </c>
    </row>
    <row r="306" spans="1:1" x14ac:dyDescent="0.3">
      <c r="A306">
        <v>0.25874475062956281</v>
      </c>
    </row>
    <row r="307" spans="1:1" x14ac:dyDescent="0.3">
      <c r="A307">
        <v>-0.46790689414320658</v>
      </c>
    </row>
    <row r="308" spans="1:1" x14ac:dyDescent="0.3">
      <c r="A308">
        <v>-0.83190904794843556</v>
      </c>
    </row>
    <row r="309" spans="1:1" x14ac:dyDescent="0.3">
      <c r="A309">
        <v>1.032055161894458</v>
      </c>
    </row>
    <row r="310" spans="1:1" x14ac:dyDescent="0.3">
      <c r="A310">
        <v>0.27547880207045772</v>
      </c>
    </row>
    <row r="311" spans="1:1" x14ac:dyDescent="0.3">
      <c r="A311">
        <v>0.95601192256263534</v>
      </c>
    </row>
    <row r="312" spans="1:1" x14ac:dyDescent="0.3">
      <c r="A312">
        <v>2.140927031979643</v>
      </c>
    </row>
    <row r="313" spans="1:1" x14ac:dyDescent="0.3">
      <c r="A313">
        <v>1.942313826073166</v>
      </c>
    </row>
    <row r="314" spans="1:1" x14ac:dyDescent="0.3">
      <c r="A314">
        <v>0.93789780818102719</v>
      </c>
    </row>
    <row r="315" spans="1:1" x14ac:dyDescent="0.3">
      <c r="A315">
        <v>0.61652683952064535</v>
      </c>
    </row>
    <row r="316" spans="1:1" x14ac:dyDescent="0.3">
      <c r="A316">
        <v>-6.0711180563435663E-2</v>
      </c>
    </row>
    <row r="317" spans="1:1" x14ac:dyDescent="0.3">
      <c r="A317">
        <v>1.1852192909183461</v>
      </c>
    </row>
    <row r="318" spans="1:1" x14ac:dyDescent="0.3">
      <c r="A318">
        <v>0.68009993839845018</v>
      </c>
    </row>
    <row r="319" spans="1:1" x14ac:dyDescent="0.3">
      <c r="A319">
        <v>2.0260533408613779</v>
      </c>
    </row>
    <row r="320" spans="1:1" x14ac:dyDescent="0.3">
      <c r="A320">
        <v>0.85662480322165113</v>
      </c>
    </row>
    <row r="321" spans="1:1" x14ac:dyDescent="0.3">
      <c r="A321">
        <v>-4.747988837720496E-2</v>
      </c>
    </row>
    <row r="322" spans="1:1" x14ac:dyDescent="0.3">
      <c r="A322">
        <v>0.10989623718638331</v>
      </c>
    </row>
    <row r="323" spans="1:1" x14ac:dyDescent="0.3">
      <c r="A323">
        <v>0.1011160140215195</v>
      </c>
    </row>
    <row r="324" spans="1:1" x14ac:dyDescent="0.3">
      <c r="A324">
        <v>-0.43367031476580531</v>
      </c>
    </row>
    <row r="325" spans="1:1" x14ac:dyDescent="0.3">
      <c r="A325">
        <v>-1.8849660302664031</v>
      </c>
    </row>
    <row r="326" spans="1:1" x14ac:dyDescent="0.3">
      <c r="A326">
        <v>-1.2894097999310641</v>
      </c>
    </row>
    <row r="327" spans="1:1" x14ac:dyDescent="0.3">
      <c r="A327">
        <v>-1.619163559022446</v>
      </c>
    </row>
    <row r="328" spans="1:1" x14ac:dyDescent="0.3">
      <c r="A328">
        <v>-5.0803535839593073E-2</v>
      </c>
    </row>
    <row r="329" spans="1:1" x14ac:dyDescent="0.3">
      <c r="A329">
        <v>-0.9882479300270085</v>
      </c>
    </row>
    <row r="330" spans="1:1" x14ac:dyDescent="0.3">
      <c r="A330">
        <v>0.43470917799025133</v>
      </c>
    </row>
    <row r="331" spans="1:1" x14ac:dyDescent="0.3">
      <c r="A331">
        <v>-0.34474659278594011</v>
      </c>
    </row>
    <row r="332" spans="1:1" x14ac:dyDescent="0.3">
      <c r="A332">
        <v>5.1147463456568093E-2</v>
      </c>
    </row>
    <row r="333" spans="1:1" x14ac:dyDescent="0.3">
      <c r="A333">
        <v>0.93450594882233473</v>
      </c>
    </row>
    <row r="334" spans="1:1" x14ac:dyDescent="0.3">
      <c r="A334">
        <v>0.13541180738376041</v>
      </c>
    </row>
    <row r="335" spans="1:1" x14ac:dyDescent="0.3">
      <c r="A335">
        <v>0.64922681751375744</v>
      </c>
    </row>
    <row r="336" spans="1:1" x14ac:dyDescent="0.3">
      <c r="A336">
        <v>0.36648510107561738</v>
      </c>
    </row>
    <row r="337" spans="1:1" x14ac:dyDescent="0.3">
      <c r="A337">
        <v>-0.87867335865458962</v>
      </c>
    </row>
    <row r="338" spans="1:1" x14ac:dyDescent="0.3">
      <c r="A338">
        <v>-0.8851509620581145</v>
      </c>
    </row>
    <row r="339" spans="1:1" x14ac:dyDescent="0.3">
      <c r="A339">
        <v>1.0001842040942559</v>
      </c>
    </row>
    <row r="340" spans="1:1" x14ac:dyDescent="0.3">
      <c r="A340">
        <v>0.48599776916933912</v>
      </c>
    </row>
    <row r="341" spans="1:1" x14ac:dyDescent="0.3">
      <c r="A341">
        <v>-0.47758402450641951</v>
      </c>
    </row>
    <row r="342" spans="1:1" x14ac:dyDescent="0.3">
      <c r="A342">
        <v>-0.38833174123610081</v>
      </c>
    </row>
    <row r="343" spans="1:1" x14ac:dyDescent="0.3">
      <c r="A343">
        <v>5.8309390992598797E-2</v>
      </c>
    </row>
    <row r="344" spans="1:1" x14ac:dyDescent="0.3">
      <c r="A344">
        <v>0.99614118835221843</v>
      </c>
    </row>
    <row r="345" spans="1:1" x14ac:dyDescent="0.3">
      <c r="A345">
        <v>1.8412587096389941</v>
      </c>
    </row>
    <row r="346" spans="1:1" x14ac:dyDescent="0.3">
      <c r="A346">
        <v>1.3894034951223591</v>
      </c>
    </row>
    <row r="347" spans="1:1" x14ac:dyDescent="0.3">
      <c r="A347">
        <v>2.1371576922430342</v>
      </c>
    </row>
    <row r="348" spans="1:1" x14ac:dyDescent="0.3">
      <c r="A348">
        <v>0.73175043677097606</v>
      </c>
    </row>
    <row r="349" spans="1:1" x14ac:dyDescent="0.3">
      <c r="A349">
        <v>-1.8322880989506201</v>
      </c>
    </row>
    <row r="350" spans="1:1" x14ac:dyDescent="0.3">
      <c r="A350">
        <v>-1.75428509479497</v>
      </c>
    </row>
    <row r="351" spans="1:1" x14ac:dyDescent="0.3">
      <c r="A351">
        <v>-1.743855055863869</v>
      </c>
    </row>
    <row r="352" spans="1:1" x14ac:dyDescent="0.3">
      <c r="A352">
        <v>-3.5367346906072679</v>
      </c>
    </row>
    <row r="353" spans="1:1" x14ac:dyDescent="0.3">
      <c r="A353">
        <v>-1.913242526455555</v>
      </c>
    </row>
    <row r="354" spans="1:1" x14ac:dyDescent="0.3">
      <c r="A354">
        <v>-2.123044907941269</v>
      </c>
    </row>
    <row r="355" spans="1:1" x14ac:dyDescent="0.3">
      <c r="A355">
        <v>-1.7121854217870529</v>
      </c>
    </row>
    <row r="356" spans="1:1" x14ac:dyDescent="0.3">
      <c r="A356">
        <v>-2.7856327829049792</v>
      </c>
    </row>
    <row r="357" spans="1:1" x14ac:dyDescent="0.3">
      <c r="A357">
        <v>-1.40241874616517</v>
      </c>
    </row>
    <row r="358" spans="1:1" x14ac:dyDescent="0.3">
      <c r="A358">
        <v>0.90953389503986193</v>
      </c>
    </row>
    <row r="359" spans="1:1" x14ac:dyDescent="0.3">
      <c r="A359">
        <v>-0.2414033836961407</v>
      </c>
    </row>
    <row r="360" spans="1:1" x14ac:dyDescent="0.3">
      <c r="A360">
        <v>-0.28154127963208542</v>
      </c>
    </row>
    <row r="361" spans="1:1" x14ac:dyDescent="0.3">
      <c r="A361">
        <v>1.7516341692335311</v>
      </c>
    </row>
    <row r="362" spans="1:1" x14ac:dyDescent="0.3">
      <c r="A362">
        <v>2.1599602506711988</v>
      </c>
    </row>
    <row r="363" spans="1:1" x14ac:dyDescent="0.3">
      <c r="A363">
        <v>3.4250315971668872</v>
      </c>
    </row>
    <row r="364" spans="1:1" x14ac:dyDescent="0.3">
      <c r="A364">
        <v>2.3922880600848808</v>
      </c>
    </row>
    <row r="365" spans="1:1" x14ac:dyDescent="0.3">
      <c r="A365">
        <v>1.5223415931377819</v>
      </c>
    </row>
    <row r="366" spans="1:1" x14ac:dyDescent="0.3">
      <c r="A366">
        <v>0.55600745801732887</v>
      </c>
    </row>
    <row r="367" spans="1:1" x14ac:dyDescent="0.3">
      <c r="A367">
        <v>1.8237789240382469</v>
      </c>
    </row>
    <row r="368" spans="1:1" x14ac:dyDescent="0.3">
      <c r="A368">
        <v>-9.1932855062153429E-3</v>
      </c>
    </row>
    <row r="369" spans="1:1" x14ac:dyDescent="0.3">
      <c r="A369">
        <v>0.30087891540066752</v>
      </c>
    </row>
    <row r="370" spans="1:1" x14ac:dyDescent="0.3">
      <c r="A370">
        <v>0.1642967075030842</v>
      </c>
    </row>
    <row r="371" spans="1:1" x14ac:dyDescent="0.3">
      <c r="A371">
        <v>2.3668494953790371</v>
      </c>
    </row>
    <row r="372" spans="1:1" x14ac:dyDescent="0.3">
      <c r="A372">
        <v>1.0487609181556179</v>
      </c>
    </row>
    <row r="373" spans="1:1" x14ac:dyDescent="0.3">
      <c r="A373">
        <v>-0.77515552714210323</v>
      </c>
    </row>
    <row r="374" spans="1:1" x14ac:dyDescent="0.3">
      <c r="A374">
        <v>-0.30997709949089658</v>
      </c>
    </row>
    <row r="375" spans="1:1" x14ac:dyDescent="0.3">
      <c r="A375">
        <v>-0.25663266569472082</v>
      </c>
    </row>
    <row r="376" spans="1:1" x14ac:dyDescent="0.3">
      <c r="A376">
        <v>-1.01876793349165</v>
      </c>
    </row>
    <row r="377" spans="1:1" x14ac:dyDescent="0.3">
      <c r="A377">
        <v>-0.58084646519999894</v>
      </c>
    </row>
    <row r="378" spans="1:1" x14ac:dyDescent="0.3">
      <c r="A378">
        <v>-0.68211727234593822</v>
      </c>
    </row>
    <row r="379" spans="1:1" x14ac:dyDescent="0.3">
      <c r="A379">
        <v>-1.1562407319101879</v>
      </c>
    </row>
    <row r="380" spans="1:1" x14ac:dyDescent="0.3">
      <c r="A380">
        <v>-0.3085325805613065</v>
      </c>
    </row>
    <row r="381" spans="1:1" x14ac:dyDescent="0.3">
      <c r="A381">
        <v>-0.54763511839970325</v>
      </c>
    </row>
    <row r="382" spans="1:1" x14ac:dyDescent="0.3">
      <c r="A382">
        <v>-2.2183248336523191</v>
      </c>
    </row>
    <row r="383" spans="1:1" x14ac:dyDescent="0.3">
      <c r="A383">
        <v>-4.2045686319293054</v>
      </c>
    </row>
    <row r="384" spans="1:1" x14ac:dyDescent="0.3">
      <c r="A384">
        <v>-3.5237802144349279</v>
      </c>
    </row>
    <row r="385" spans="1:1" x14ac:dyDescent="0.3">
      <c r="A385">
        <v>-1.0124592792332601</v>
      </c>
    </row>
    <row r="386" spans="1:1" x14ac:dyDescent="0.3">
      <c r="A386">
        <v>0.12940788450141091</v>
      </c>
    </row>
    <row r="387" spans="1:1" x14ac:dyDescent="0.3">
      <c r="A387">
        <v>1.3056390995971241</v>
      </c>
    </row>
    <row r="388" spans="1:1" x14ac:dyDescent="0.3">
      <c r="A388">
        <v>1.8964528124507809</v>
      </c>
    </row>
    <row r="389" spans="1:1" x14ac:dyDescent="0.3">
      <c r="A389">
        <v>1.643280992733978</v>
      </c>
    </row>
    <row r="390" spans="1:1" x14ac:dyDescent="0.3">
      <c r="A390">
        <v>-0.3567659328025366</v>
      </c>
    </row>
    <row r="391" spans="1:1" x14ac:dyDescent="0.3">
      <c r="A391">
        <v>-4.4166365795498493E-2</v>
      </c>
    </row>
    <row r="392" spans="1:1" x14ac:dyDescent="0.3">
      <c r="A392">
        <v>1.566311634286961</v>
      </c>
    </row>
    <row r="393" spans="1:1" x14ac:dyDescent="0.3">
      <c r="A393">
        <v>-2.2996453905734908</v>
      </c>
    </row>
    <row r="394" spans="1:1" x14ac:dyDescent="0.3">
      <c r="A394">
        <v>-2.391104057703525</v>
      </c>
    </row>
    <row r="395" spans="1:1" x14ac:dyDescent="0.3">
      <c r="A395">
        <v>-0.57130819964056045</v>
      </c>
    </row>
    <row r="396" spans="1:1" x14ac:dyDescent="0.3">
      <c r="A396">
        <v>0.12882927969690031</v>
      </c>
    </row>
    <row r="397" spans="1:1" x14ac:dyDescent="0.3">
      <c r="A397">
        <v>0.87957489930268429</v>
      </c>
    </row>
    <row r="398" spans="1:1" x14ac:dyDescent="0.3">
      <c r="A398">
        <v>1.0728019353679601</v>
      </c>
    </row>
    <row r="399" spans="1:1" x14ac:dyDescent="0.3">
      <c r="A399">
        <v>1.2897944704156949</v>
      </c>
    </row>
    <row r="400" spans="1:1" x14ac:dyDescent="0.3">
      <c r="A400">
        <v>0.91749925170208746</v>
      </c>
    </row>
    <row r="401" spans="1:1" x14ac:dyDescent="0.3">
      <c r="A401">
        <v>-0.27423965951163221</v>
      </c>
    </row>
    <row r="402" spans="1:1" x14ac:dyDescent="0.3">
      <c r="A402">
        <v>-1.4187828524257979</v>
      </c>
    </row>
    <row r="403" spans="1:1" x14ac:dyDescent="0.3">
      <c r="A403">
        <v>-0.95699512856783497</v>
      </c>
    </row>
    <row r="404" spans="1:1" x14ac:dyDescent="0.3">
      <c r="A404">
        <v>-1.091289703568874</v>
      </c>
    </row>
    <row r="405" spans="1:1" x14ac:dyDescent="0.3">
      <c r="A405">
        <v>-1.6632672009611169</v>
      </c>
    </row>
    <row r="406" spans="1:1" x14ac:dyDescent="0.3">
      <c r="A406">
        <v>-0.74684572318622</v>
      </c>
    </row>
    <row r="407" spans="1:1" x14ac:dyDescent="0.3">
      <c r="A407">
        <v>-0.36934726936634399</v>
      </c>
    </row>
    <row r="408" spans="1:1" x14ac:dyDescent="0.3">
      <c r="A408">
        <v>1.204739956636806</v>
      </c>
    </row>
    <row r="409" spans="1:1" x14ac:dyDescent="0.3">
      <c r="A409">
        <v>-0.27818452767977803</v>
      </c>
    </row>
    <row r="410" spans="1:1" x14ac:dyDescent="0.3">
      <c r="A410">
        <v>-0.7125172524308685</v>
      </c>
    </row>
    <row r="411" spans="1:1" x14ac:dyDescent="0.3">
      <c r="A411">
        <v>-0.57370916504013125</v>
      </c>
    </row>
    <row r="412" spans="1:1" x14ac:dyDescent="0.3">
      <c r="A412">
        <v>-1.8093864969671729</v>
      </c>
    </row>
    <row r="413" spans="1:1" x14ac:dyDescent="0.3">
      <c r="A413">
        <v>-1.5512764159874981</v>
      </c>
    </row>
    <row r="414" spans="1:1" x14ac:dyDescent="0.3">
      <c r="A414">
        <v>-1.7940646694046249</v>
      </c>
    </row>
    <row r="415" spans="1:1" x14ac:dyDescent="0.3">
      <c r="A415">
        <v>-3.4034842697207539</v>
      </c>
    </row>
    <row r="416" spans="1:1" x14ac:dyDescent="0.3">
      <c r="A416">
        <v>-2.6662761494158849</v>
      </c>
    </row>
    <row r="417" spans="1:1" x14ac:dyDescent="0.3">
      <c r="A417">
        <v>-2.400465468567206</v>
      </c>
    </row>
    <row r="418" spans="1:1" x14ac:dyDescent="0.3">
      <c r="A418">
        <v>-0.54731563384284865</v>
      </c>
    </row>
    <row r="419" spans="1:1" x14ac:dyDescent="0.3">
      <c r="A419">
        <v>-0.98718986653764962</v>
      </c>
    </row>
    <row r="420" spans="1:1" x14ac:dyDescent="0.3">
      <c r="A420">
        <v>-0.1335213109838827</v>
      </c>
    </row>
    <row r="421" spans="1:1" x14ac:dyDescent="0.3">
      <c r="A421">
        <v>4.9164375566368962E-2</v>
      </c>
    </row>
    <row r="422" spans="1:1" x14ac:dyDescent="0.3">
      <c r="A422">
        <v>-1.2024451519488659</v>
      </c>
    </row>
    <row r="423" spans="1:1" x14ac:dyDescent="0.3">
      <c r="A423">
        <v>-0.46756763386101668</v>
      </c>
    </row>
    <row r="424" spans="1:1" x14ac:dyDescent="0.3">
      <c r="A424">
        <v>-0.4333834671691652</v>
      </c>
    </row>
    <row r="425" spans="1:1" x14ac:dyDescent="0.3">
      <c r="A425">
        <v>-0.13730644050936669</v>
      </c>
    </row>
    <row r="426" spans="1:1" x14ac:dyDescent="0.3">
      <c r="A426">
        <v>0.56192033998584956</v>
      </c>
    </row>
    <row r="427" spans="1:1" x14ac:dyDescent="0.3">
      <c r="A427">
        <v>0.50730715796148029</v>
      </c>
    </row>
    <row r="428" spans="1:1" x14ac:dyDescent="0.3">
      <c r="A428">
        <v>1.9402741746042269</v>
      </c>
    </row>
    <row r="429" spans="1:1" x14ac:dyDescent="0.3">
      <c r="A429">
        <v>1.4737453626662831</v>
      </c>
    </row>
    <row r="430" spans="1:1" x14ac:dyDescent="0.3">
      <c r="A430">
        <v>-0.2223772854171171</v>
      </c>
    </row>
    <row r="431" spans="1:1" x14ac:dyDescent="0.3">
      <c r="A431">
        <v>0.58620067950875832</v>
      </c>
    </row>
    <row r="432" spans="1:1" x14ac:dyDescent="0.3">
      <c r="A432">
        <v>-0.81256113934371776</v>
      </c>
    </row>
    <row r="433" spans="1:1" x14ac:dyDescent="0.3">
      <c r="A433">
        <v>-2.4876869293027162</v>
      </c>
    </row>
    <row r="434" spans="1:1" x14ac:dyDescent="0.3">
      <c r="A434">
        <v>-2.5513172404326938</v>
      </c>
    </row>
    <row r="435" spans="1:1" x14ac:dyDescent="0.3">
      <c r="A435">
        <v>-2.530599297088163</v>
      </c>
    </row>
    <row r="436" spans="1:1" x14ac:dyDescent="0.3">
      <c r="A436">
        <v>-2.3789254306549128</v>
      </c>
    </row>
    <row r="437" spans="1:1" x14ac:dyDescent="0.3">
      <c r="A437">
        <v>-5.8488235393502563E-2</v>
      </c>
    </row>
    <row r="438" spans="1:1" x14ac:dyDescent="0.3">
      <c r="A438">
        <v>1.5946576815081761</v>
      </c>
    </row>
    <row r="439" spans="1:1" x14ac:dyDescent="0.3">
      <c r="A439">
        <v>1.8423514737542159</v>
      </c>
    </row>
    <row r="440" spans="1:1" x14ac:dyDescent="0.3">
      <c r="A440">
        <v>1.5811106584492359E-2</v>
      </c>
    </row>
    <row r="441" spans="1:1" x14ac:dyDescent="0.3">
      <c r="A441">
        <v>3.4214330042484913E-2</v>
      </c>
    </row>
    <row r="442" spans="1:1" x14ac:dyDescent="0.3">
      <c r="A442">
        <v>0.51107126485621779</v>
      </c>
    </row>
    <row r="443" spans="1:1" x14ac:dyDescent="0.3">
      <c r="A443">
        <v>0.2207223821296215</v>
      </c>
    </row>
    <row r="444" spans="1:1" x14ac:dyDescent="0.3">
      <c r="A444">
        <v>0.32625114994674442</v>
      </c>
    </row>
    <row r="445" spans="1:1" x14ac:dyDescent="0.3">
      <c r="A445">
        <v>-0.71641810993726551</v>
      </c>
    </row>
    <row r="446" spans="1:1" x14ac:dyDescent="0.3">
      <c r="A446">
        <v>-1.789112982962298</v>
      </c>
    </row>
    <row r="447" spans="1:1" x14ac:dyDescent="0.3">
      <c r="A447">
        <v>0.15538665067742241</v>
      </c>
    </row>
    <row r="448" spans="1:1" x14ac:dyDescent="0.3">
      <c r="A448">
        <v>0.37614334452735548</v>
      </c>
    </row>
    <row r="449" spans="1:1" x14ac:dyDescent="0.3">
      <c r="A449">
        <v>-0.1450973009768636</v>
      </c>
    </row>
    <row r="450" spans="1:1" x14ac:dyDescent="0.3">
      <c r="A450">
        <v>0.22370310923313619</v>
      </c>
    </row>
    <row r="451" spans="1:1" x14ac:dyDescent="0.3">
      <c r="A451">
        <v>2.2190731495825489</v>
      </c>
    </row>
    <row r="452" spans="1:1" x14ac:dyDescent="0.3">
      <c r="A452">
        <v>1.916018160371735</v>
      </c>
    </row>
    <row r="453" spans="1:1" x14ac:dyDescent="0.3">
      <c r="A453">
        <v>2.7526173569641119</v>
      </c>
    </row>
    <row r="454" spans="1:1" x14ac:dyDescent="0.3">
      <c r="A454">
        <v>3.294376464450306</v>
      </c>
    </row>
    <row r="455" spans="1:1" x14ac:dyDescent="0.3">
      <c r="A455">
        <v>1.898887377993675</v>
      </c>
    </row>
    <row r="456" spans="1:1" x14ac:dyDescent="0.3">
      <c r="A456">
        <v>2.0917628954814251</v>
      </c>
    </row>
    <row r="457" spans="1:1" x14ac:dyDescent="0.3">
      <c r="A457">
        <v>0.81303320380527488</v>
      </c>
    </row>
    <row r="458" spans="1:1" x14ac:dyDescent="0.3">
      <c r="A458">
        <v>-0.9045325368046252</v>
      </c>
    </row>
    <row r="459" spans="1:1" x14ac:dyDescent="0.3">
      <c r="A459">
        <v>-1.8348385721683469</v>
      </c>
    </row>
    <row r="460" spans="1:1" x14ac:dyDescent="0.3">
      <c r="A460">
        <v>-1.433107478647935</v>
      </c>
    </row>
    <row r="461" spans="1:1" x14ac:dyDescent="0.3">
      <c r="A461">
        <v>0.7938871934987537</v>
      </c>
    </row>
    <row r="462" spans="1:1" x14ac:dyDescent="0.3">
      <c r="A462">
        <v>0.66052975330469899</v>
      </c>
    </row>
    <row r="463" spans="1:1" x14ac:dyDescent="0.3">
      <c r="A463">
        <v>-0.34046714603818667</v>
      </c>
    </row>
    <row r="464" spans="1:1" x14ac:dyDescent="0.3">
      <c r="A464">
        <v>-7.9520380630560827E-3</v>
      </c>
    </row>
    <row r="465" spans="1:1" x14ac:dyDescent="0.3">
      <c r="A465">
        <v>0.69240876657394856</v>
      </c>
    </row>
    <row r="466" spans="1:1" x14ac:dyDescent="0.3">
      <c r="A466">
        <v>-0.81051559534411666</v>
      </c>
    </row>
    <row r="467" spans="1:1" x14ac:dyDescent="0.3">
      <c r="A467">
        <v>-1.6220411347185459</v>
      </c>
    </row>
    <row r="468" spans="1:1" x14ac:dyDescent="0.3">
      <c r="A468">
        <v>-3.0770362839780541</v>
      </c>
    </row>
    <row r="469" spans="1:1" x14ac:dyDescent="0.3">
      <c r="A469">
        <v>-3.4234859917883589</v>
      </c>
    </row>
    <row r="470" spans="1:1" x14ac:dyDescent="0.3">
      <c r="A470">
        <v>-3.2838790050679592</v>
      </c>
    </row>
    <row r="471" spans="1:1" x14ac:dyDescent="0.3">
      <c r="A471">
        <v>-2.590631066250765</v>
      </c>
    </row>
    <row r="472" spans="1:1" x14ac:dyDescent="0.3">
      <c r="A472">
        <v>-0.40334769340250581</v>
      </c>
    </row>
    <row r="473" spans="1:1" x14ac:dyDescent="0.3">
      <c r="A473">
        <v>0.60629804488218575</v>
      </c>
    </row>
    <row r="474" spans="1:1" x14ac:dyDescent="0.3">
      <c r="A474">
        <v>0.69738295110779136</v>
      </c>
    </row>
    <row r="475" spans="1:1" x14ac:dyDescent="0.3">
      <c r="A475">
        <v>-7.8473400250735348E-2</v>
      </c>
    </row>
    <row r="476" spans="1:1" x14ac:dyDescent="0.3">
      <c r="A476">
        <v>-9.5138317612089227E-2</v>
      </c>
    </row>
    <row r="477" spans="1:1" x14ac:dyDescent="0.3">
      <c r="A477">
        <v>0.48101542297260058</v>
      </c>
    </row>
    <row r="478" spans="1:1" x14ac:dyDescent="0.3">
      <c r="A478">
        <v>-0.16732252552471541</v>
      </c>
    </row>
    <row r="479" spans="1:1" x14ac:dyDescent="0.3">
      <c r="A479">
        <v>0.94194436169149842</v>
      </c>
    </row>
    <row r="480" spans="1:1" x14ac:dyDescent="0.3">
      <c r="A480">
        <v>1.756814619619836</v>
      </c>
    </row>
    <row r="481" spans="1:1" x14ac:dyDescent="0.3">
      <c r="A481">
        <v>6.3265604108299289E-2</v>
      </c>
    </row>
    <row r="482" spans="1:1" x14ac:dyDescent="0.3">
      <c r="A482">
        <v>-0.70262538721025103</v>
      </c>
    </row>
    <row r="483" spans="1:1" x14ac:dyDescent="0.3">
      <c r="A483">
        <v>0.71490096229209144</v>
      </c>
    </row>
    <row r="484" spans="1:1" x14ac:dyDescent="0.3">
      <c r="A484">
        <v>-1.1867892069388859</v>
      </c>
    </row>
    <row r="485" spans="1:1" x14ac:dyDescent="0.3">
      <c r="A485">
        <v>-0.41104254995089279</v>
      </c>
    </row>
    <row r="486" spans="1:1" x14ac:dyDescent="0.3">
      <c r="A486">
        <v>-5.4231023326828692E-2</v>
      </c>
    </row>
    <row r="487" spans="1:1" x14ac:dyDescent="0.3">
      <c r="A487">
        <v>3.157939481528607</v>
      </c>
    </row>
    <row r="488" spans="1:1" x14ac:dyDescent="0.3">
      <c r="A488">
        <v>-0.51912270415692641</v>
      </c>
    </row>
    <row r="489" spans="1:1" x14ac:dyDescent="0.3">
      <c r="A489">
        <v>-1.204181694333895</v>
      </c>
    </row>
    <row r="490" spans="1:1" x14ac:dyDescent="0.3">
      <c r="A490">
        <v>-0.1688985173832708</v>
      </c>
    </row>
    <row r="491" spans="1:1" x14ac:dyDescent="0.3">
      <c r="A491">
        <v>1.5560975475031</v>
      </c>
    </row>
    <row r="492" spans="1:1" x14ac:dyDescent="0.3">
      <c r="A492">
        <v>1.928955367092664</v>
      </c>
    </row>
    <row r="493" spans="1:1" x14ac:dyDescent="0.3">
      <c r="A493">
        <v>-7.8099678590325849E-2</v>
      </c>
    </row>
    <row r="494" spans="1:1" x14ac:dyDescent="0.3">
      <c r="A494">
        <v>2.1847183941545931</v>
      </c>
    </row>
    <row r="495" spans="1:1" x14ac:dyDescent="0.3">
      <c r="A495">
        <v>-0.22796334819353969</v>
      </c>
    </row>
    <row r="496" spans="1:1" x14ac:dyDescent="0.3">
      <c r="A496">
        <v>-1.272590431640136</v>
      </c>
    </row>
    <row r="497" spans="1:1" x14ac:dyDescent="0.3">
      <c r="A497">
        <v>-0.9339536927614287</v>
      </c>
    </row>
    <row r="498" spans="1:1" x14ac:dyDescent="0.3">
      <c r="A498">
        <v>1.5718193239736029</v>
      </c>
    </row>
    <row r="499" spans="1:1" x14ac:dyDescent="0.3">
      <c r="A499">
        <v>1.6065901141197421</v>
      </c>
    </row>
    <row r="500" spans="1:1" x14ac:dyDescent="0.3">
      <c r="A500">
        <v>1.8550091313195869</v>
      </c>
    </row>
    <row r="501" spans="1:1" x14ac:dyDescent="0.3">
      <c r="A501">
        <v>3.026583986660528</v>
      </c>
    </row>
    <row r="502" spans="1:1" x14ac:dyDescent="0.3">
      <c r="A502">
        <v>3.1033887589769251</v>
      </c>
    </row>
    <row r="503" spans="1:1" x14ac:dyDescent="0.3">
      <c r="A503">
        <v>0.94763425531958112</v>
      </c>
    </row>
    <row r="504" spans="1:1" x14ac:dyDescent="0.3">
      <c r="A504">
        <v>1.373070196789532</v>
      </c>
    </row>
    <row r="505" spans="1:1" x14ac:dyDescent="0.3">
      <c r="A505">
        <v>0.85192914517460827</v>
      </c>
    </row>
    <row r="506" spans="1:1" x14ac:dyDescent="0.3">
      <c r="A506">
        <v>2.3789582970105592</v>
      </c>
    </row>
    <row r="507" spans="1:1" x14ac:dyDescent="0.3">
      <c r="A507">
        <v>1.421826128304416</v>
      </c>
    </row>
    <row r="508" spans="1:1" x14ac:dyDescent="0.3">
      <c r="A508">
        <v>-0.53182873244151962</v>
      </c>
    </row>
    <row r="509" spans="1:1" x14ac:dyDescent="0.3">
      <c r="A509">
        <v>0.1195542587575583</v>
      </c>
    </row>
    <row r="510" spans="1:1" x14ac:dyDescent="0.3">
      <c r="A510">
        <v>0.43819164205728289</v>
      </c>
    </row>
    <row r="511" spans="1:1" x14ac:dyDescent="0.3">
      <c r="A511">
        <v>0.28910780180972062</v>
      </c>
    </row>
    <row r="512" spans="1:1" x14ac:dyDescent="0.3">
      <c r="A512">
        <v>-0.85417486085042083</v>
      </c>
    </row>
    <row r="513" spans="1:1" x14ac:dyDescent="0.3">
      <c r="A513">
        <v>-1.436837068673563</v>
      </c>
    </row>
    <row r="514" spans="1:1" x14ac:dyDescent="0.3">
      <c r="A514">
        <v>-1.0184116645619199</v>
      </c>
    </row>
    <row r="515" spans="1:1" x14ac:dyDescent="0.3">
      <c r="A515">
        <v>0.32522198081098519</v>
      </c>
    </row>
    <row r="516" spans="1:1" x14ac:dyDescent="0.3">
      <c r="A516">
        <v>-0.13680232733737091</v>
      </c>
    </row>
    <row r="517" spans="1:1" x14ac:dyDescent="0.3">
      <c r="A517">
        <v>-0.9672111013215543</v>
      </c>
    </row>
    <row r="518" spans="1:1" x14ac:dyDescent="0.3">
      <c r="A518">
        <v>-3.3812507963717859</v>
      </c>
    </row>
    <row r="519" spans="1:1" x14ac:dyDescent="0.3">
      <c r="A519">
        <v>-1.8726257209196031</v>
      </c>
    </row>
    <row r="520" spans="1:1" x14ac:dyDescent="0.3">
      <c r="A520">
        <v>-0.88349767964460901</v>
      </c>
    </row>
    <row r="521" spans="1:1" x14ac:dyDescent="0.3">
      <c r="A521">
        <v>0.69074248435845842</v>
      </c>
    </row>
    <row r="522" spans="1:1" x14ac:dyDescent="0.3">
      <c r="A522">
        <v>1.950242381361619</v>
      </c>
    </row>
    <row r="523" spans="1:1" x14ac:dyDescent="0.3">
      <c r="A523">
        <v>1.2221136006585169</v>
      </c>
    </row>
    <row r="524" spans="1:1" x14ac:dyDescent="0.3">
      <c r="A524">
        <v>2.153993246671702</v>
      </c>
    </row>
    <row r="525" spans="1:1" x14ac:dyDescent="0.3">
      <c r="A525">
        <v>1.5091088202261129</v>
      </c>
    </row>
    <row r="526" spans="1:1" x14ac:dyDescent="0.3">
      <c r="A526">
        <v>0.37996609847269858</v>
      </c>
    </row>
    <row r="527" spans="1:1" x14ac:dyDescent="0.3">
      <c r="A527">
        <v>-0.5822203279545789</v>
      </c>
    </row>
    <row r="528" spans="1:1" x14ac:dyDescent="0.3">
      <c r="A528">
        <v>-0.75449532997564073</v>
      </c>
    </row>
    <row r="529" spans="1:1" x14ac:dyDescent="0.3">
      <c r="A529">
        <v>-0.30066728795587722</v>
      </c>
    </row>
    <row r="530" spans="1:1" x14ac:dyDescent="0.3">
      <c r="A530">
        <v>-0.23786850518022529</v>
      </c>
    </row>
    <row r="531" spans="1:1" x14ac:dyDescent="0.3">
      <c r="A531">
        <v>3.4369836958875188E-2</v>
      </c>
    </row>
    <row r="532" spans="1:1" x14ac:dyDescent="0.3">
      <c r="A532">
        <v>0.22300155769400831</v>
      </c>
    </row>
    <row r="533" spans="1:1" x14ac:dyDescent="0.3">
      <c r="A533">
        <v>0.87070044646949563</v>
      </c>
    </row>
    <row r="534" spans="1:1" x14ac:dyDescent="0.3">
      <c r="A534">
        <v>0.33630853763879759</v>
      </c>
    </row>
    <row r="535" spans="1:1" x14ac:dyDescent="0.3">
      <c r="A535">
        <v>1.870763434278887</v>
      </c>
    </row>
    <row r="536" spans="1:1" x14ac:dyDescent="0.3">
      <c r="A536">
        <v>1.7472282904748639</v>
      </c>
    </row>
    <row r="537" spans="1:1" x14ac:dyDescent="0.3">
      <c r="A537">
        <v>2.9523952583324631E-2</v>
      </c>
    </row>
    <row r="538" spans="1:1" x14ac:dyDescent="0.3">
      <c r="A538">
        <v>-0.25598303739085332</v>
      </c>
    </row>
    <row r="539" spans="1:1" x14ac:dyDescent="0.3">
      <c r="A539">
        <v>0.33669492436152137</v>
      </c>
    </row>
    <row r="540" spans="1:1" x14ac:dyDescent="0.3">
      <c r="A540">
        <v>-0.17536888503327791</v>
      </c>
    </row>
    <row r="541" spans="1:1" x14ac:dyDescent="0.3">
      <c r="A541">
        <v>0.22223682994927971</v>
      </c>
    </row>
    <row r="542" spans="1:1" x14ac:dyDescent="0.3">
      <c r="A542">
        <v>0.58996164179563426</v>
      </c>
    </row>
    <row r="543" spans="1:1" x14ac:dyDescent="0.3">
      <c r="A543">
        <v>1.7164508322619729</v>
      </c>
    </row>
    <row r="544" spans="1:1" x14ac:dyDescent="0.3">
      <c r="A544">
        <v>0.549819671850305</v>
      </c>
    </row>
    <row r="545" spans="1:1" x14ac:dyDescent="0.3">
      <c r="A545">
        <v>0.367992907967225</v>
      </c>
    </row>
    <row r="546" spans="1:1" x14ac:dyDescent="0.3">
      <c r="A546">
        <v>-0.31009741971653371</v>
      </c>
    </row>
    <row r="547" spans="1:1" x14ac:dyDescent="0.3">
      <c r="A547">
        <v>-1.344201063564858</v>
      </c>
    </row>
    <row r="548" spans="1:1" x14ac:dyDescent="0.3">
      <c r="A548">
        <v>-2.7899110556744331</v>
      </c>
    </row>
    <row r="549" spans="1:1" x14ac:dyDescent="0.3">
      <c r="A549">
        <v>-1.757408683790213</v>
      </c>
    </row>
    <row r="550" spans="1:1" x14ac:dyDescent="0.3">
      <c r="A550">
        <v>-0.62862085345756125</v>
      </c>
    </row>
    <row r="551" spans="1:1" x14ac:dyDescent="0.3">
      <c r="A551">
        <v>0.19912356236964041</v>
      </c>
    </row>
    <row r="552" spans="1:1" x14ac:dyDescent="0.3">
      <c r="A552">
        <v>-1.2506063238033329</v>
      </c>
    </row>
    <row r="553" spans="1:1" x14ac:dyDescent="0.3">
      <c r="A553">
        <v>-2.005102280059917</v>
      </c>
    </row>
    <row r="554" spans="1:1" x14ac:dyDescent="0.3">
      <c r="A554">
        <v>-2.54472579087951</v>
      </c>
    </row>
    <row r="555" spans="1:1" x14ac:dyDescent="0.3">
      <c r="A555">
        <v>-2.4699795532165432</v>
      </c>
    </row>
    <row r="556" spans="1:1" x14ac:dyDescent="0.3">
      <c r="A556">
        <v>-1.558787869099451</v>
      </c>
    </row>
    <row r="557" spans="1:1" x14ac:dyDescent="0.3">
      <c r="A557">
        <v>-0.49666808111220617</v>
      </c>
    </row>
    <row r="558" spans="1:1" x14ac:dyDescent="0.3">
      <c r="A558">
        <v>-1.1627003075035021</v>
      </c>
    </row>
    <row r="559" spans="1:1" x14ac:dyDescent="0.3">
      <c r="A559">
        <v>-3.6782370523191812</v>
      </c>
    </row>
    <row r="560" spans="1:1" x14ac:dyDescent="0.3">
      <c r="A560">
        <v>-1.620942454915167</v>
      </c>
    </row>
    <row r="561" spans="1:1" x14ac:dyDescent="0.3">
      <c r="A561">
        <v>-0.51937494782717286</v>
      </c>
    </row>
    <row r="562" spans="1:1" x14ac:dyDescent="0.3">
      <c r="A562">
        <v>-1.0644331640292839</v>
      </c>
    </row>
    <row r="563" spans="1:1" x14ac:dyDescent="0.3">
      <c r="A563">
        <v>-1.818764556290289</v>
      </c>
    </row>
    <row r="564" spans="1:1" x14ac:dyDescent="0.3">
      <c r="A564">
        <v>-1.573126386202939</v>
      </c>
    </row>
    <row r="565" spans="1:1" x14ac:dyDescent="0.3">
      <c r="A565">
        <v>-0.99308190753948655</v>
      </c>
    </row>
    <row r="566" spans="1:1" x14ac:dyDescent="0.3">
      <c r="A566">
        <v>2.8043428310033591E-2</v>
      </c>
    </row>
    <row r="567" spans="1:1" x14ac:dyDescent="0.3">
      <c r="A567">
        <v>1.4097254958912899</v>
      </c>
    </row>
    <row r="568" spans="1:1" x14ac:dyDescent="0.3">
      <c r="A568">
        <v>0.13792444874549939</v>
      </c>
    </row>
    <row r="569" spans="1:1" x14ac:dyDescent="0.3">
      <c r="A569">
        <v>0.38726995876534759</v>
      </c>
    </row>
    <row r="570" spans="1:1" x14ac:dyDescent="0.3">
      <c r="A570">
        <v>1.605265004838166</v>
      </c>
    </row>
    <row r="571" spans="1:1" x14ac:dyDescent="0.3">
      <c r="A571">
        <v>0.22234334812763321</v>
      </c>
    </row>
    <row r="572" spans="1:1" x14ac:dyDescent="0.3">
      <c r="A572">
        <v>-6.7123069243507666E-2</v>
      </c>
    </row>
    <row r="573" spans="1:1" x14ac:dyDescent="0.3">
      <c r="A573">
        <v>-1.818454176673854</v>
      </c>
    </row>
    <row r="574" spans="1:1" x14ac:dyDescent="0.3">
      <c r="A574">
        <v>-0.98549567355725243</v>
      </c>
    </row>
    <row r="575" spans="1:1" x14ac:dyDescent="0.3">
      <c r="A575">
        <v>-1.3310387338140759</v>
      </c>
    </row>
    <row r="576" spans="1:1" x14ac:dyDescent="0.3">
      <c r="A576">
        <v>-1.8566647559088001</v>
      </c>
    </row>
    <row r="577" spans="1:1" x14ac:dyDescent="0.3">
      <c r="A577">
        <v>-2.0796427983214829</v>
      </c>
    </row>
    <row r="578" spans="1:1" x14ac:dyDescent="0.3">
      <c r="A578">
        <v>-1.0112465852306669</v>
      </c>
    </row>
    <row r="579" spans="1:1" x14ac:dyDescent="0.3">
      <c r="A579">
        <v>-2.870341612273128</v>
      </c>
    </row>
    <row r="580" spans="1:1" x14ac:dyDescent="0.3">
      <c r="A580">
        <v>-2.4347500285121351</v>
      </c>
    </row>
    <row r="581" spans="1:1" x14ac:dyDescent="0.3">
      <c r="A581">
        <v>-2.7180426791630401</v>
      </c>
    </row>
    <row r="582" spans="1:1" x14ac:dyDescent="0.3">
      <c r="A582">
        <v>-2.8647489037178748</v>
      </c>
    </row>
    <row r="583" spans="1:1" x14ac:dyDescent="0.3">
      <c r="A583">
        <v>-1.530689605325148</v>
      </c>
    </row>
    <row r="584" spans="1:1" x14ac:dyDescent="0.3">
      <c r="A584">
        <v>-0.71972845412306619</v>
      </c>
    </row>
    <row r="585" spans="1:1" x14ac:dyDescent="0.3">
      <c r="A585">
        <v>-0.61083027413312718</v>
      </c>
    </row>
    <row r="586" spans="1:1" x14ac:dyDescent="0.3">
      <c r="A586">
        <v>0.1099360647071569</v>
      </c>
    </row>
    <row r="587" spans="1:1" x14ac:dyDescent="0.3">
      <c r="A587">
        <v>-0.52514965315312034</v>
      </c>
    </row>
    <row r="588" spans="1:1" x14ac:dyDescent="0.3">
      <c r="A588">
        <v>-2.3909024025408652</v>
      </c>
    </row>
    <row r="589" spans="1:1" x14ac:dyDescent="0.3">
      <c r="A589">
        <v>-0.5192104011804668</v>
      </c>
    </row>
    <row r="590" spans="1:1" x14ac:dyDescent="0.3">
      <c r="A590">
        <v>-0.59414027852043561</v>
      </c>
    </row>
    <row r="591" spans="1:1" x14ac:dyDescent="0.3">
      <c r="A591">
        <v>-0.78098696317921557</v>
      </c>
    </row>
    <row r="592" spans="1:1" x14ac:dyDescent="0.3">
      <c r="A592">
        <v>-0.38917294484972831</v>
      </c>
    </row>
    <row r="593" spans="1:1" x14ac:dyDescent="0.3">
      <c r="A593">
        <v>0.4935111615895858</v>
      </c>
    </row>
    <row r="594" spans="1:1" x14ac:dyDescent="0.3">
      <c r="A594">
        <v>0.77154477931502341</v>
      </c>
    </row>
    <row r="595" spans="1:1" x14ac:dyDescent="0.3">
      <c r="A595">
        <v>1.4673467454858271</v>
      </c>
    </row>
    <row r="596" spans="1:1" x14ac:dyDescent="0.3">
      <c r="A596">
        <v>1.073277314680567</v>
      </c>
    </row>
    <row r="597" spans="1:1" x14ac:dyDescent="0.3">
      <c r="A597">
        <v>0.24700847718528551</v>
      </c>
    </row>
    <row r="598" spans="1:1" x14ac:dyDescent="0.3">
      <c r="A598">
        <v>-0.12754347432586169</v>
      </c>
    </row>
    <row r="599" spans="1:1" x14ac:dyDescent="0.3">
      <c r="A599">
        <v>0.73363554661776786</v>
      </c>
    </row>
    <row r="600" spans="1:1" x14ac:dyDescent="0.3">
      <c r="A600">
        <v>-0.33572391349660152</v>
      </c>
    </row>
    <row r="601" spans="1:1" x14ac:dyDescent="0.3">
      <c r="A601">
        <v>-1.1886168351288171</v>
      </c>
    </row>
    <row r="602" spans="1:1" x14ac:dyDescent="0.3">
      <c r="A602">
        <v>-0.51855306870759632</v>
      </c>
    </row>
    <row r="603" spans="1:1" x14ac:dyDescent="0.3">
      <c r="A603">
        <v>0.24948615933799681</v>
      </c>
    </row>
    <row r="604" spans="1:1" x14ac:dyDescent="0.3">
      <c r="A604">
        <v>-1.5164429160002839</v>
      </c>
    </row>
    <row r="605" spans="1:1" x14ac:dyDescent="0.3">
      <c r="A605">
        <v>-0.27681141375787421</v>
      </c>
    </row>
    <row r="606" spans="1:1" x14ac:dyDescent="0.3">
      <c r="A606">
        <v>-0.181842854370489</v>
      </c>
    </row>
    <row r="607" spans="1:1" x14ac:dyDescent="0.3">
      <c r="A607">
        <v>-0.30854528592930303</v>
      </c>
    </row>
    <row r="608" spans="1:1" x14ac:dyDescent="0.3">
      <c r="A608">
        <v>0.8909727023301578</v>
      </c>
    </row>
    <row r="609" spans="1:1" x14ac:dyDescent="0.3">
      <c r="A609">
        <v>2.103075762619373</v>
      </c>
    </row>
    <row r="610" spans="1:1" x14ac:dyDescent="0.3">
      <c r="A610">
        <v>0.32475359283371952</v>
      </c>
    </row>
    <row r="611" spans="1:1" x14ac:dyDescent="0.3">
      <c r="A611">
        <v>1.238981891497599</v>
      </c>
    </row>
    <row r="612" spans="1:1" x14ac:dyDescent="0.3">
      <c r="A612">
        <v>0.2352181290734375</v>
      </c>
    </row>
    <row r="613" spans="1:1" x14ac:dyDescent="0.3">
      <c r="A613">
        <v>0.29701400987049592</v>
      </c>
    </row>
    <row r="614" spans="1:1" x14ac:dyDescent="0.3">
      <c r="A614">
        <v>0.68883587163467119</v>
      </c>
    </row>
    <row r="615" spans="1:1" x14ac:dyDescent="0.3">
      <c r="A615">
        <v>0.61536273772887695</v>
      </c>
    </row>
    <row r="616" spans="1:1" x14ac:dyDescent="0.3">
      <c r="A616">
        <v>-1.03211054591798</v>
      </c>
    </row>
    <row r="617" spans="1:1" x14ac:dyDescent="0.3">
      <c r="A617">
        <v>-1.228879162617327</v>
      </c>
    </row>
    <row r="618" spans="1:1" x14ac:dyDescent="0.3">
      <c r="A618">
        <v>0.67944782350541644</v>
      </c>
    </row>
    <row r="619" spans="1:1" x14ac:dyDescent="0.3">
      <c r="A619">
        <v>0.64840709484108283</v>
      </c>
    </row>
    <row r="620" spans="1:1" x14ac:dyDescent="0.3">
      <c r="A620">
        <v>-0.38193895769092012</v>
      </c>
    </row>
    <row r="621" spans="1:1" x14ac:dyDescent="0.3">
      <c r="A621">
        <v>-0.92328597426325221</v>
      </c>
    </row>
    <row r="622" spans="1:1" x14ac:dyDescent="0.3">
      <c r="A622">
        <v>0.41126590455104328</v>
      </c>
    </row>
    <row r="623" spans="1:1" x14ac:dyDescent="0.3">
      <c r="A623">
        <v>0.63396962305109739</v>
      </c>
    </row>
    <row r="624" spans="1:1" x14ac:dyDescent="0.3">
      <c r="A624">
        <v>-0.45340780585792628</v>
      </c>
    </row>
    <row r="625" spans="1:1" x14ac:dyDescent="0.3">
      <c r="A625">
        <v>-0.31112025284491801</v>
      </c>
    </row>
    <row r="626" spans="1:1" x14ac:dyDescent="0.3">
      <c r="A626">
        <v>0.37888633208428768</v>
      </c>
    </row>
    <row r="627" spans="1:1" x14ac:dyDescent="0.3">
      <c r="A627">
        <v>1.9877722404030109</v>
      </c>
    </row>
    <row r="628" spans="1:1" x14ac:dyDescent="0.3">
      <c r="A628">
        <v>0.50969108487276238</v>
      </c>
    </row>
    <row r="629" spans="1:1" x14ac:dyDescent="0.3">
      <c r="A629">
        <v>-2.3162195755933979E-2</v>
      </c>
    </row>
    <row r="630" spans="1:1" x14ac:dyDescent="0.3">
      <c r="A630">
        <v>0.97989647884460862</v>
      </c>
    </row>
    <row r="631" spans="1:1" x14ac:dyDescent="0.3">
      <c r="A631">
        <v>0.22680664224738509</v>
      </c>
    </row>
    <row r="632" spans="1:1" x14ac:dyDescent="0.3">
      <c r="A632">
        <v>1.619030395785737</v>
      </c>
    </row>
    <row r="633" spans="1:1" x14ac:dyDescent="0.3">
      <c r="A633">
        <v>2.1765674540003679</v>
      </c>
    </row>
    <row r="634" spans="1:1" x14ac:dyDescent="0.3">
      <c r="A634">
        <v>-0.13544375254657681</v>
      </c>
    </row>
    <row r="635" spans="1:1" x14ac:dyDescent="0.3">
      <c r="A635">
        <v>0.32914714944479179</v>
      </c>
    </row>
    <row r="636" spans="1:1" x14ac:dyDescent="0.3">
      <c r="A636">
        <v>-1.1887599215738851</v>
      </c>
    </row>
    <row r="637" spans="1:1" x14ac:dyDescent="0.3">
      <c r="A637">
        <v>-2.296824401772402</v>
      </c>
    </row>
    <row r="638" spans="1:1" x14ac:dyDescent="0.3">
      <c r="A638">
        <v>-1.53735610909285</v>
      </c>
    </row>
    <row r="639" spans="1:1" x14ac:dyDescent="0.3">
      <c r="A639">
        <v>-1.0194510543847231</v>
      </c>
    </row>
    <row r="640" spans="1:1" x14ac:dyDescent="0.3">
      <c r="A640">
        <v>-0.74632391533489351</v>
      </c>
    </row>
    <row r="641" spans="1:1" x14ac:dyDescent="0.3">
      <c r="A641">
        <v>0.74185448333194937</v>
      </c>
    </row>
    <row r="642" spans="1:1" x14ac:dyDescent="0.3">
      <c r="A642">
        <v>0.81428602406260353</v>
      </c>
    </row>
    <row r="643" spans="1:1" x14ac:dyDescent="0.3">
      <c r="A643">
        <v>-0.10308660366066651</v>
      </c>
    </row>
    <row r="644" spans="1:1" x14ac:dyDescent="0.3">
      <c r="A644">
        <v>4.7427668928489611E-2</v>
      </c>
    </row>
    <row r="645" spans="1:1" x14ac:dyDescent="0.3">
      <c r="A645">
        <v>-0.4811971407413515</v>
      </c>
    </row>
    <row r="646" spans="1:1" x14ac:dyDescent="0.3">
      <c r="A646">
        <v>-0.4049495723854829</v>
      </c>
    </row>
    <row r="647" spans="1:1" x14ac:dyDescent="0.3">
      <c r="A647">
        <v>-1.431476612506581</v>
      </c>
    </row>
    <row r="648" spans="1:1" x14ac:dyDescent="0.3">
      <c r="A648">
        <v>-1.117278108883776</v>
      </c>
    </row>
    <row r="649" spans="1:1" x14ac:dyDescent="0.3">
      <c r="A649">
        <v>-0.67915828436963444</v>
      </c>
    </row>
    <row r="650" spans="1:1" x14ac:dyDescent="0.3">
      <c r="A650">
        <v>-1.177154286161884</v>
      </c>
    </row>
    <row r="651" spans="1:1" x14ac:dyDescent="0.3">
      <c r="A651">
        <v>-0.78277737604302444</v>
      </c>
    </row>
    <row r="652" spans="1:1" x14ac:dyDescent="0.3">
      <c r="A652">
        <v>-1.1967125138285959</v>
      </c>
    </row>
    <row r="653" spans="1:1" x14ac:dyDescent="0.3">
      <c r="A653">
        <v>-1.4817066191464601</v>
      </c>
    </row>
    <row r="654" spans="1:1" x14ac:dyDescent="0.3">
      <c r="A654">
        <v>-1.2416334584688939</v>
      </c>
    </row>
    <row r="655" spans="1:1" x14ac:dyDescent="0.3">
      <c r="A655">
        <v>-0.37830250326663312</v>
      </c>
    </row>
    <row r="656" spans="1:1" x14ac:dyDescent="0.3">
      <c r="A656">
        <v>-0.4701487395571729</v>
      </c>
    </row>
    <row r="657" spans="1:1" x14ac:dyDescent="0.3">
      <c r="A657">
        <v>-0.13841279376476531</v>
      </c>
    </row>
    <row r="658" spans="1:1" x14ac:dyDescent="0.3">
      <c r="A658">
        <v>0.87313523702578799</v>
      </c>
    </row>
    <row r="659" spans="1:1" x14ac:dyDescent="0.3">
      <c r="A659">
        <v>0.32593358807098222</v>
      </c>
    </row>
    <row r="660" spans="1:1" x14ac:dyDescent="0.3">
      <c r="A660">
        <v>0.1245342431079212</v>
      </c>
    </row>
    <row r="661" spans="1:1" x14ac:dyDescent="0.3">
      <c r="A661">
        <v>0.5984285113792509</v>
      </c>
    </row>
    <row r="662" spans="1:1" x14ac:dyDescent="0.3">
      <c r="A662">
        <v>-0.83926249205024595</v>
      </c>
    </row>
    <row r="663" spans="1:1" x14ac:dyDescent="0.3">
      <c r="A663">
        <v>-4.3657775478977867E-2</v>
      </c>
    </row>
    <row r="664" spans="1:1" x14ac:dyDescent="0.3">
      <c r="A664">
        <v>-0.56552402941827362</v>
      </c>
    </row>
    <row r="665" spans="1:1" x14ac:dyDescent="0.3">
      <c r="A665">
        <v>-1.533912847372864</v>
      </c>
    </row>
    <row r="666" spans="1:1" x14ac:dyDescent="0.3">
      <c r="A666">
        <v>-2.8417427640366579</v>
      </c>
    </row>
    <row r="667" spans="1:1" x14ac:dyDescent="0.3">
      <c r="A667">
        <v>-2.7041981376934028</v>
      </c>
    </row>
    <row r="668" spans="1:1" x14ac:dyDescent="0.3">
      <c r="A668">
        <v>-3.0631409607450029</v>
      </c>
    </row>
    <row r="669" spans="1:1" x14ac:dyDescent="0.3">
      <c r="A669">
        <v>-3.3226468209409621</v>
      </c>
    </row>
    <row r="670" spans="1:1" x14ac:dyDescent="0.3">
      <c r="A670">
        <v>-0.69856143670534054</v>
      </c>
    </row>
    <row r="671" spans="1:1" x14ac:dyDescent="0.3">
      <c r="A671">
        <v>-1.701139671322272</v>
      </c>
    </row>
    <row r="672" spans="1:1" x14ac:dyDescent="0.3">
      <c r="A672">
        <v>-0.1932878524843048</v>
      </c>
    </row>
    <row r="673" spans="1:1" x14ac:dyDescent="0.3">
      <c r="A673">
        <v>0.40994414468115781</v>
      </c>
    </row>
    <row r="674" spans="1:1" x14ac:dyDescent="0.3">
      <c r="A674">
        <v>-0.59782821389830998</v>
      </c>
    </row>
    <row r="675" spans="1:1" x14ac:dyDescent="0.3">
      <c r="A675">
        <v>-1.0297104476101879</v>
      </c>
    </row>
    <row r="676" spans="1:1" x14ac:dyDescent="0.3">
      <c r="A676">
        <v>-1.1309968261604879</v>
      </c>
    </row>
    <row r="677" spans="1:1" x14ac:dyDescent="0.3">
      <c r="A677">
        <v>-0.60128840847552723</v>
      </c>
    </row>
    <row r="678" spans="1:1" x14ac:dyDescent="0.3">
      <c r="A678">
        <v>-0.76922681489220701</v>
      </c>
    </row>
    <row r="679" spans="1:1" x14ac:dyDescent="0.3">
      <c r="A679">
        <v>0.28838875986044338</v>
      </c>
    </row>
    <row r="680" spans="1:1" x14ac:dyDescent="0.3">
      <c r="A680">
        <v>-9.0814770400412193E-2</v>
      </c>
    </row>
    <row r="681" spans="1:1" x14ac:dyDescent="0.3">
      <c r="A681">
        <v>-2.2289165492435301</v>
      </c>
    </row>
    <row r="682" spans="1:1" x14ac:dyDescent="0.3">
      <c r="A682">
        <v>-1.656458360673851</v>
      </c>
    </row>
    <row r="683" spans="1:1" x14ac:dyDescent="0.3">
      <c r="A683">
        <v>-3.01147769872028</v>
      </c>
    </row>
    <row r="684" spans="1:1" x14ac:dyDescent="0.3">
      <c r="A684">
        <v>-1.1702232538721069</v>
      </c>
    </row>
    <row r="685" spans="1:1" x14ac:dyDescent="0.3">
      <c r="A685">
        <v>-1.566842759149971</v>
      </c>
    </row>
    <row r="686" spans="1:1" x14ac:dyDescent="0.3">
      <c r="A686">
        <v>-2.212031367105145</v>
      </c>
    </row>
    <row r="687" spans="1:1" x14ac:dyDescent="0.3">
      <c r="A687">
        <v>-2.139928372272426</v>
      </c>
    </row>
    <row r="688" spans="1:1" x14ac:dyDescent="0.3">
      <c r="A688">
        <v>-0.91271917668150493</v>
      </c>
    </row>
    <row r="689" spans="1:1" x14ac:dyDescent="0.3">
      <c r="A689">
        <v>-2.5574616229869158</v>
      </c>
    </row>
    <row r="690" spans="1:1" x14ac:dyDescent="0.3">
      <c r="A690">
        <v>-1.536406344586748</v>
      </c>
    </row>
    <row r="691" spans="1:1" x14ac:dyDescent="0.3">
      <c r="A691">
        <v>-2.0477262074568929</v>
      </c>
    </row>
    <row r="692" spans="1:1" x14ac:dyDescent="0.3">
      <c r="A692">
        <v>-1.4419217932578421</v>
      </c>
    </row>
    <row r="693" spans="1:1" x14ac:dyDescent="0.3">
      <c r="A693">
        <v>-0.33030334427301</v>
      </c>
    </row>
    <row r="694" spans="1:1" x14ac:dyDescent="0.3">
      <c r="A694">
        <v>0.33841902570131532</v>
      </c>
    </row>
    <row r="695" spans="1:1" x14ac:dyDescent="0.3">
      <c r="A695">
        <v>1.739854979119317</v>
      </c>
    </row>
    <row r="696" spans="1:1" x14ac:dyDescent="0.3">
      <c r="A696">
        <v>1.346983886548996</v>
      </c>
    </row>
    <row r="697" spans="1:1" x14ac:dyDescent="0.3">
      <c r="A697">
        <v>0.24170576890767939</v>
      </c>
    </row>
    <row r="698" spans="1:1" x14ac:dyDescent="0.3">
      <c r="A698">
        <v>2.322901254212606</v>
      </c>
    </row>
    <row r="699" spans="1:1" x14ac:dyDescent="0.3">
      <c r="A699">
        <v>1.3227847396870751</v>
      </c>
    </row>
    <row r="700" spans="1:1" x14ac:dyDescent="0.3">
      <c r="A700">
        <v>1.733529094688965</v>
      </c>
    </row>
    <row r="701" spans="1:1" x14ac:dyDescent="0.3">
      <c r="A701">
        <v>2.1444618324086901</v>
      </c>
    </row>
    <row r="702" spans="1:1" x14ac:dyDescent="0.3">
      <c r="A702">
        <v>1.956025380959016</v>
      </c>
    </row>
    <row r="703" spans="1:1" x14ac:dyDescent="0.3">
      <c r="A703">
        <v>2.7946384567349121</v>
      </c>
    </row>
    <row r="704" spans="1:1" x14ac:dyDescent="0.3">
      <c r="A704">
        <v>1.7472557472016881</v>
      </c>
    </row>
    <row r="705" spans="1:1" x14ac:dyDescent="0.3">
      <c r="A705">
        <v>-8.3237560494262564E-3</v>
      </c>
    </row>
    <row r="706" spans="1:1" x14ac:dyDescent="0.3">
      <c r="A706">
        <v>-0.36643020638794532</v>
      </c>
    </row>
    <row r="707" spans="1:1" x14ac:dyDescent="0.3">
      <c r="A707">
        <v>-0.80371444395561809</v>
      </c>
    </row>
    <row r="708" spans="1:1" x14ac:dyDescent="0.3">
      <c r="A708">
        <v>-0.23460410325446551</v>
      </c>
    </row>
    <row r="709" spans="1:1" x14ac:dyDescent="0.3">
      <c r="A709">
        <v>-1.0975227043717819</v>
      </c>
    </row>
    <row r="710" spans="1:1" x14ac:dyDescent="0.3">
      <c r="A710">
        <v>-8.74550682600721E-2</v>
      </c>
    </row>
    <row r="711" spans="1:1" x14ac:dyDescent="0.3">
      <c r="A711">
        <v>-1.2251009479684081</v>
      </c>
    </row>
    <row r="712" spans="1:1" x14ac:dyDescent="0.3">
      <c r="A712">
        <v>0.89787884630546189</v>
      </c>
    </row>
    <row r="713" spans="1:1" x14ac:dyDescent="0.3">
      <c r="A713">
        <v>2.0781525566687309</v>
      </c>
    </row>
    <row r="714" spans="1:1" x14ac:dyDescent="0.3">
      <c r="A714">
        <v>1.005911848457028</v>
      </c>
    </row>
    <row r="715" spans="1:1" x14ac:dyDescent="0.3">
      <c r="A715">
        <v>0.84420558285038372</v>
      </c>
    </row>
    <row r="716" spans="1:1" x14ac:dyDescent="0.3">
      <c r="A716">
        <v>0.21729357981768671</v>
      </c>
    </row>
    <row r="717" spans="1:1" x14ac:dyDescent="0.3">
      <c r="A717">
        <v>-1.054328611365704</v>
      </c>
    </row>
    <row r="718" spans="1:1" x14ac:dyDescent="0.3">
      <c r="A718">
        <v>-3.3993760028970059</v>
      </c>
    </row>
    <row r="719" spans="1:1" x14ac:dyDescent="0.3">
      <c r="A719">
        <v>-2.4046576952934942</v>
      </c>
    </row>
    <row r="720" spans="1:1" x14ac:dyDescent="0.3">
      <c r="A720">
        <v>-1.7176336439545099</v>
      </c>
    </row>
    <row r="721" spans="1:1" x14ac:dyDescent="0.3">
      <c r="A721">
        <v>0.4400154882766909</v>
      </c>
    </row>
    <row r="722" spans="1:1" x14ac:dyDescent="0.3">
      <c r="A722">
        <v>-1.6874513057451479</v>
      </c>
    </row>
    <row r="723" spans="1:1" x14ac:dyDescent="0.3">
      <c r="A723">
        <v>-1.8433866726240129</v>
      </c>
    </row>
    <row r="724" spans="1:1" x14ac:dyDescent="0.3">
      <c r="A724">
        <v>-0.41033267852677607</v>
      </c>
    </row>
    <row r="725" spans="1:1" x14ac:dyDescent="0.3">
      <c r="A725">
        <v>5.5154545032899897E-2</v>
      </c>
    </row>
    <row r="726" spans="1:1" x14ac:dyDescent="0.3">
      <c r="A726">
        <v>0.16036203704681551</v>
      </c>
    </row>
    <row r="727" spans="1:1" x14ac:dyDescent="0.3">
      <c r="A727">
        <v>-0.50850760857904254</v>
      </c>
    </row>
    <row r="728" spans="1:1" x14ac:dyDescent="0.3">
      <c r="A728">
        <v>-0.15501005843130711</v>
      </c>
    </row>
    <row r="729" spans="1:1" x14ac:dyDescent="0.3">
      <c r="A729">
        <v>-0.34441238892525577</v>
      </c>
    </row>
    <row r="730" spans="1:1" x14ac:dyDescent="0.3">
      <c r="A730">
        <v>-0.1274275572774525</v>
      </c>
    </row>
    <row r="731" spans="1:1" x14ac:dyDescent="0.3">
      <c r="A731">
        <v>-0.66712848538203495</v>
      </c>
    </row>
    <row r="732" spans="1:1" x14ac:dyDescent="0.3">
      <c r="A732">
        <v>0.72157494607090644</v>
      </c>
    </row>
    <row r="733" spans="1:1" x14ac:dyDescent="0.3">
      <c r="A733">
        <v>1.5650387403711079</v>
      </c>
    </row>
    <row r="734" spans="1:1" x14ac:dyDescent="0.3">
      <c r="A734">
        <v>2.4322853291244519</v>
      </c>
    </row>
    <row r="735" spans="1:1" x14ac:dyDescent="0.3">
      <c r="A735">
        <v>1.3354305592569</v>
      </c>
    </row>
    <row r="736" spans="1:1" x14ac:dyDescent="0.3">
      <c r="A736">
        <v>0.63046468670143474</v>
      </c>
    </row>
    <row r="737" spans="1:1" x14ac:dyDescent="0.3">
      <c r="A737">
        <v>9.1045656455291057E-2</v>
      </c>
    </row>
    <row r="738" spans="1:1" x14ac:dyDescent="0.3">
      <c r="A738">
        <v>1.437876722246729</v>
      </c>
    </row>
    <row r="739" spans="1:1" x14ac:dyDescent="0.3">
      <c r="A739">
        <v>0.70679321369764114</v>
      </c>
    </row>
    <row r="740" spans="1:1" x14ac:dyDescent="0.3">
      <c r="A740">
        <v>0.59239039381358083</v>
      </c>
    </row>
    <row r="741" spans="1:1" x14ac:dyDescent="0.3">
      <c r="A741">
        <v>0.79586130439322844</v>
      </c>
    </row>
    <row r="742" spans="1:1" x14ac:dyDescent="0.3">
      <c r="A742">
        <v>1.235315469894043</v>
      </c>
    </row>
    <row r="743" spans="1:1" x14ac:dyDescent="0.3">
      <c r="A743">
        <v>0.59704755669156029</v>
      </c>
    </row>
    <row r="744" spans="1:1" x14ac:dyDescent="0.3">
      <c r="A744">
        <v>2.7638989540190049</v>
      </c>
    </row>
    <row r="745" spans="1:1" x14ac:dyDescent="0.3">
      <c r="A745">
        <v>1.0072346122884741</v>
      </c>
    </row>
    <row r="746" spans="1:1" x14ac:dyDescent="0.3">
      <c r="A746">
        <v>-0.72149294509580641</v>
      </c>
    </row>
    <row r="747" spans="1:1" x14ac:dyDescent="0.3">
      <c r="A747">
        <v>-0.46274239717725169</v>
      </c>
    </row>
    <row r="748" spans="1:1" x14ac:dyDescent="0.3">
      <c r="A748">
        <v>1.443523791980738</v>
      </c>
    </row>
    <row r="749" spans="1:1" x14ac:dyDescent="0.3">
      <c r="A749">
        <v>1.0632169815318839</v>
      </c>
    </row>
    <row r="750" spans="1:1" x14ac:dyDescent="0.3">
      <c r="A750">
        <v>0.85397792704228626</v>
      </c>
    </row>
    <row r="751" spans="1:1" x14ac:dyDescent="0.3">
      <c r="A751">
        <v>1.4609871644877539</v>
      </c>
    </row>
    <row r="752" spans="1:1" x14ac:dyDescent="0.3">
      <c r="A752">
        <v>0.92371781037181033</v>
      </c>
    </row>
    <row r="753" spans="1:1" x14ac:dyDescent="0.3">
      <c r="A753">
        <v>0.75029901334648774</v>
      </c>
    </row>
    <row r="754" spans="1:1" x14ac:dyDescent="0.3">
      <c r="A754">
        <v>1.733694185027181</v>
      </c>
    </row>
    <row r="755" spans="1:1" x14ac:dyDescent="0.3">
      <c r="A755">
        <v>1.307331950571798</v>
      </c>
    </row>
    <row r="756" spans="1:1" x14ac:dyDescent="0.3">
      <c r="A756">
        <v>0.1629358464541755</v>
      </c>
    </row>
    <row r="757" spans="1:1" x14ac:dyDescent="0.3">
      <c r="A757">
        <v>0.50897931239058336</v>
      </c>
    </row>
    <row r="758" spans="1:1" x14ac:dyDescent="0.3">
      <c r="A758">
        <v>-0.73523491531401031</v>
      </c>
    </row>
    <row r="759" spans="1:1" x14ac:dyDescent="0.3">
      <c r="A759">
        <v>-1.972956865715501</v>
      </c>
    </row>
    <row r="760" spans="1:1" x14ac:dyDescent="0.3">
      <c r="A760">
        <v>-1.5037820909566051</v>
      </c>
    </row>
    <row r="761" spans="1:1" x14ac:dyDescent="0.3">
      <c r="A761">
        <v>-2.15357665533802</v>
      </c>
    </row>
    <row r="762" spans="1:1" x14ac:dyDescent="0.3">
      <c r="A762">
        <v>-0.92658058689685696</v>
      </c>
    </row>
    <row r="763" spans="1:1" x14ac:dyDescent="0.3">
      <c r="A763">
        <v>-0.79555390018758765</v>
      </c>
    </row>
    <row r="764" spans="1:1" x14ac:dyDescent="0.3">
      <c r="A764">
        <v>-1.3232223452036651</v>
      </c>
    </row>
    <row r="765" spans="1:1" x14ac:dyDescent="0.3">
      <c r="A765">
        <v>0.69664193690205767</v>
      </c>
    </row>
    <row r="766" spans="1:1" x14ac:dyDescent="0.3">
      <c r="A766">
        <v>0.37770881179544968</v>
      </c>
    </row>
    <row r="767" spans="1:1" x14ac:dyDescent="0.3">
      <c r="A767">
        <v>1.686101022518872</v>
      </c>
    </row>
    <row r="768" spans="1:1" x14ac:dyDescent="0.3">
      <c r="A768">
        <v>1.0668496667668119</v>
      </c>
    </row>
    <row r="769" spans="1:1" x14ac:dyDescent="0.3">
      <c r="A769">
        <v>0.41751382515561591</v>
      </c>
    </row>
    <row r="770" spans="1:1" x14ac:dyDescent="0.3">
      <c r="A770">
        <v>0.66572066120607443</v>
      </c>
    </row>
    <row r="771" spans="1:1" x14ac:dyDescent="0.3">
      <c r="A771">
        <v>1.4958925937840639</v>
      </c>
    </row>
    <row r="772" spans="1:1" x14ac:dyDescent="0.3">
      <c r="A772">
        <v>3.752899862848186</v>
      </c>
    </row>
    <row r="773" spans="1:1" x14ac:dyDescent="0.3">
      <c r="A773">
        <v>1.5920840327444861</v>
      </c>
    </row>
    <row r="774" spans="1:1" x14ac:dyDescent="0.3">
      <c r="A774">
        <v>0.93102896428041282</v>
      </c>
    </row>
    <row r="775" spans="1:1" x14ac:dyDescent="0.3">
      <c r="A775">
        <v>1.729491582447614</v>
      </c>
    </row>
    <row r="776" spans="1:1" x14ac:dyDescent="0.3">
      <c r="A776">
        <v>1.552264333012122</v>
      </c>
    </row>
    <row r="777" spans="1:1" x14ac:dyDescent="0.3">
      <c r="A777">
        <v>0.89924140898981164</v>
      </c>
    </row>
    <row r="778" spans="1:1" x14ac:dyDescent="0.3">
      <c r="A778">
        <v>-0.67339012223660644</v>
      </c>
    </row>
    <row r="779" spans="1:1" x14ac:dyDescent="0.3">
      <c r="A779">
        <v>-0.75003134754129064</v>
      </c>
    </row>
    <row r="780" spans="1:1" x14ac:dyDescent="0.3">
      <c r="A780">
        <v>-0.70977585173716984</v>
      </c>
    </row>
    <row r="781" spans="1:1" x14ac:dyDescent="0.3">
      <c r="A781">
        <v>-0.57862059338958272</v>
      </c>
    </row>
    <row r="782" spans="1:1" x14ac:dyDescent="0.3">
      <c r="A782">
        <v>1.2072073783543591</v>
      </c>
    </row>
    <row r="783" spans="1:1" x14ac:dyDescent="0.3">
      <c r="A783">
        <v>0.38310532534338299</v>
      </c>
    </row>
    <row r="784" spans="1:1" x14ac:dyDescent="0.3">
      <c r="A784">
        <v>-1.307876573078268</v>
      </c>
    </row>
    <row r="785" spans="1:1" x14ac:dyDescent="0.3">
      <c r="A785">
        <v>-0.41908052762365983</v>
      </c>
    </row>
    <row r="786" spans="1:1" x14ac:dyDescent="0.3">
      <c r="A786">
        <v>-0.40531015315553037</v>
      </c>
    </row>
    <row r="787" spans="1:1" x14ac:dyDescent="0.3">
      <c r="A787">
        <v>-0.48806350742084431</v>
      </c>
    </row>
    <row r="788" spans="1:1" x14ac:dyDescent="0.3">
      <c r="A788">
        <v>0.29392370766181042</v>
      </c>
    </row>
    <row r="789" spans="1:1" x14ac:dyDescent="0.3">
      <c r="A789">
        <v>-2.7009273587082792</v>
      </c>
    </row>
    <row r="790" spans="1:1" x14ac:dyDescent="0.3">
      <c r="A790">
        <v>-2.4443074038567509</v>
      </c>
    </row>
    <row r="791" spans="1:1" x14ac:dyDescent="0.3">
      <c r="A791">
        <v>-1.8644670109506489</v>
      </c>
    </row>
    <row r="792" spans="1:1" x14ac:dyDescent="0.3">
      <c r="A792">
        <v>-0.6998363919050139</v>
      </c>
    </row>
    <row r="793" spans="1:1" x14ac:dyDescent="0.3">
      <c r="A793">
        <v>-0.75089207051787077</v>
      </c>
    </row>
    <row r="794" spans="1:1" x14ac:dyDescent="0.3">
      <c r="A794">
        <v>-1.5307629117737609</v>
      </c>
    </row>
    <row r="795" spans="1:1" x14ac:dyDescent="0.3">
      <c r="A795">
        <v>-0.69896792392904949</v>
      </c>
    </row>
    <row r="796" spans="1:1" x14ac:dyDescent="0.3">
      <c r="A796">
        <v>-0.46983137023021038</v>
      </c>
    </row>
    <row r="797" spans="1:1" x14ac:dyDescent="0.3">
      <c r="A797">
        <v>-0.2183531437658715</v>
      </c>
    </row>
    <row r="798" spans="1:1" x14ac:dyDescent="0.3">
      <c r="A798">
        <v>1.0037232362874691</v>
      </c>
    </row>
    <row r="799" spans="1:1" x14ac:dyDescent="0.3">
      <c r="A799">
        <v>0.16038580518946541</v>
      </c>
    </row>
    <row r="800" spans="1:1" x14ac:dyDescent="0.3">
      <c r="A800">
        <v>-1.1369312197864561</v>
      </c>
    </row>
    <row r="801" spans="1:1" x14ac:dyDescent="0.3">
      <c r="A801">
        <v>-2.0758644506037101</v>
      </c>
    </row>
    <row r="802" spans="1:1" x14ac:dyDescent="0.3">
      <c r="A802">
        <v>-2.477037903212981</v>
      </c>
    </row>
    <row r="803" spans="1:1" x14ac:dyDescent="0.3">
      <c r="A803">
        <v>-3.1215771122371501</v>
      </c>
    </row>
    <row r="804" spans="1:1" x14ac:dyDescent="0.3">
      <c r="A804">
        <v>-2.234325092972131</v>
      </c>
    </row>
    <row r="805" spans="1:1" x14ac:dyDescent="0.3">
      <c r="A805">
        <v>0.24693316540264629</v>
      </c>
    </row>
    <row r="806" spans="1:1" x14ac:dyDescent="0.3">
      <c r="A806">
        <v>7.3343150073585689E-2</v>
      </c>
    </row>
    <row r="807" spans="1:1" x14ac:dyDescent="0.3">
      <c r="A807">
        <v>0.82857732934889305</v>
      </c>
    </row>
    <row r="808" spans="1:1" x14ac:dyDescent="0.3">
      <c r="A808">
        <v>-0.52259219463578821</v>
      </c>
    </row>
    <row r="809" spans="1:1" x14ac:dyDescent="0.3">
      <c r="A809">
        <v>-0.58745931894684611</v>
      </c>
    </row>
    <row r="810" spans="1:1" x14ac:dyDescent="0.3">
      <c r="A810">
        <v>0.1548734393331074</v>
      </c>
    </row>
    <row r="811" spans="1:1" x14ac:dyDescent="0.3">
      <c r="A811">
        <v>-0.24654793772188829</v>
      </c>
    </row>
    <row r="812" spans="1:1" x14ac:dyDescent="0.3">
      <c r="A812">
        <v>0.61267904506272175</v>
      </c>
    </row>
    <row r="813" spans="1:1" x14ac:dyDescent="0.3">
      <c r="A813">
        <v>1.122922710143309</v>
      </c>
    </row>
    <row r="814" spans="1:1" x14ac:dyDescent="0.3">
      <c r="A814">
        <v>0.15331600151536101</v>
      </c>
    </row>
    <row r="815" spans="1:1" x14ac:dyDescent="0.3">
      <c r="A815">
        <v>-0.66463744090055532</v>
      </c>
    </row>
    <row r="816" spans="1:1" x14ac:dyDescent="0.3">
      <c r="A816">
        <v>1.8925711789707129</v>
      </c>
    </row>
    <row r="817" spans="1:1" x14ac:dyDescent="0.3">
      <c r="A817">
        <v>1.1322504889196889</v>
      </c>
    </row>
    <row r="818" spans="1:1" x14ac:dyDescent="0.3">
      <c r="A818">
        <v>0.79919467645797948</v>
      </c>
    </row>
    <row r="819" spans="1:1" x14ac:dyDescent="0.3">
      <c r="A819">
        <v>0.50489024889322442</v>
      </c>
    </row>
    <row r="820" spans="1:1" x14ac:dyDescent="0.3">
      <c r="A820">
        <v>-0.2147837063151192</v>
      </c>
    </row>
    <row r="821" spans="1:1" x14ac:dyDescent="0.3">
      <c r="A821">
        <v>-1.0773245381172289</v>
      </c>
    </row>
    <row r="822" spans="1:1" x14ac:dyDescent="0.3">
      <c r="A822">
        <v>-1.889862358062762</v>
      </c>
    </row>
    <row r="823" spans="1:1" x14ac:dyDescent="0.3">
      <c r="A823">
        <v>-0.40894131158948122</v>
      </c>
    </row>
    <row r="824" spans="1:1" x14ac:dyDescent="0.3">
      <c r="A824">
        <v>-1.2723217514355101</v>
      </c>
    </row>
    <row r="825" spans="1:1" x14ac:dyDescent="0.3">
      <c r="A825">
        <v>-0.22313981251522649</v>
      </c>
    </row>
    <row r="826" spans="1:1" x14ac:dyDescent="0.3">
      <c r="A826">
        <v>1.2503976209459611</v>
      </c>
    </row>
    <row r="827" spans="1:1" x14ac:dyDescent="0.3">
      <c r="A827">
        <v>2.03305729478005</v>
      </c>
    </row>
    <row r="828" spans="1:1" x14ac:dyDescent="0.3">
      <c r="A828">
        <v>1.2843869087725019</v>
      </c>
    </row>
    <row r="829" spans="1:1" x14ac:dyDescent="0.3">
      <c r="A829">
        <v>0.35974898518061332</v>
      </c>
    </row>
    <row r="830" spans="1:1" x14ac:dyDescent="0.3">
      <c r="A830">
        <v>-0.82706920943508733</v>
      </c>
    </row>
    <row r="831" spans="1:1" x14ac:dyDescent="0.3">
      <c r="A831">
        <v>-0.59751058655567013</v>
      </c>
    </row>
    <row r="832" spans="1:1" x14ac:dyDescent="0.3">
      <c r="A832">
        <v>-0.65087309626767353</v>
      </c>
    </row>
    <row r="833" spans="1:1" x14ac:dyDescent="0.3">
      <c r="A833">
        <v>-0.29931762487321112</v>
      </c>
    </row>
    <row r="834" spans="1:1" x14ac:dyDescent="0.3">
      <c r="A834">
        <v>-0.81353209216528111</v>
      </c>
    </row>
    <row r="835" spans="1:1" x14ac:dyDescent="0.3">
      <c r="A835">
        <v>5.9562655605968302E-2</v>
      </c>
    </row>
    <row r="836" spans="1:1" x14ac:dyDescent="0.3">
      <c r="A836">
        <v>0.7558634297761998</v>
      </c>
    </row>
    <row r="837" spans="1:1" x14ac:dyDescent="0.3">
      <c r="A837">
        <v>1.604990502132098</v>
      </c>
    </row>
    <row r="838" spans="1:1" x14ac:dyDescent="0.3">
      <c r="A838">
        <v>3.3732488688717921</v>
      </c>
    </row>
    <row r="839" spans="1:1" x14ac:dyDescent="0.3">
      <c r="A839">
        <v>2.5591648070895459</v>
      </c>
    </row>
    <row r="840" spans="1:1" x14ac:dyDescent="0.3">
      <c r="A840">
        <v>1.2158690464839781</v>
      </c>
    </row>
    <row r="841" spans="1:1" x14ac:dyDescent="0.3">
      <c r="A841">
        <v>0.77378746753418992</v>
      </c>
    </row>
    <row r="842" spans="1:1" x14ac:dyDescent="0.3">
      <c r="A842">
        <v>-1.086268661827086</v>
      </c>
    </row>
    <row r="843" spans="1:1" x14ac:dyDescent="0.3">
      <c r="A843">
        <v>-0.63046490930992316</v>
      </c>
    </row>
    <row r="844" spans="1:1" x14ac:dyDescent="0.3">
      <c r="A844">
        <v>-0.86699856977700696</v>
      </c>
    </row>
    <row r="845" spans="1:1" x14ac:dyDescent="0.3">
      <c r="A845">
        <v>-0.2008872503227796</v>
      </c>
    </row>
    <row r="846" spans="1:1" x14ac:dyDescent="0.3">
      <c r="A846">
        <v>-0.40943126086401738</v>
      </c>
    </row>
    <row r="847" spans="1:1" x14ac:dyDescent="0.3">
      <c r="A847">
        <v>-1.667586418902518</v>
      </c>
    </row>
    <row r="848" spans="1:1" x14ac:dyDescent="0.3">
      <c r="A848">
        <v>-1.130727171887203</v>
      </c>
    </row>
    <row r="849" spans="1:1" x14ac:dyDescent="0.3">
      <c r="A849">
        <v>-2.1447535514974292</v>
      </c>
    </row>
    <row r="850" spans="1:1" x14ac:dyDescent="0.3">
      <c r="A850">
        <v>-0.60432129210594154</v>
      </c>
    </row>
    <row r="851" spans="1:1" x14ac:dyDescent="0.3">
      <c r="A851">
        <v>-2.2523846167380839</v>
      </c>
    </row>
    <row r="852" spans="1:1" x14ac:dyDescent="0.3">
      <c r="A852">
        <v>-1.71854617588865</v>
      </c>
    </row>
    <row r="853" spans="1:1" x14ac:dyDescent="0.3">
      <c r="A853">
        <v>-0.74500054527927517</v>
      </c>
    </row>
    <row r="854" spans="1:1" x14ac:dyDescent="0.3">
      <c r="A854">
        <v>-2.0411178947854789</v>
      </c>
    </row>
    <row r="855" spans="1:1" x14ac:dyDescent="0.3">
      <c r="A855">
        <v>-2.972721168956682E-2</v>
      </c>
    </row>
    <row r="856" spans="1:1" x14ac:dyDescent="0.3">
      <c r="A856">
        <v>-0.90614823908572018</v>
      </c>
    </row>
    <row r="857" spans="1:1" x14ac:dyDescent="0.3">
      <c r="A857">
        <v>-1.140634058581325</v>
      </c>
    </row>
    <row r="858" spans="1:1" x14ac:dyDescent="0.3">
      <c r="A858">
        <v>-0.63511173504059681</v>
      </c>
    </row>
    <row r="859" spans="1:1" x14ac:dyDescent="0.3">
      <c r="A859">
        <v>-0.78172207078680978</v>
      </c>
    </row>
    <row r="860" spans="1:1" x14ac:dyDescent="0.3">
      <c r="A860">
        <v>-1.5831569815605919</v>
      </c>
    </row>
    <row r="861" spans="1:1" x14ac:dyDescent="0.3">
      <c r="A861">
        <v>-0.69887195887569975</v>
      </c>
    </row>
    <row r="862" spans="1:1" x14ac:dyDescent="0.3">
      <c r="A862">
        <v>-1.0134338294298759</v>
      </c>
    </row>
    <row r="863" spans="1:1" x14ac:dyDescent="0.3">
      <c r="A863">
        <v>-0.20290330707672871</v>
      </c>
    </row>
    <row r="864" spans="1:1" x14ac:dyDescent="0.3">
      <c r="A864">
        <v>-0.64675517772841851</v>
      </c>
    </row>
    <row r="865" spans="1:1" x14ac:dyDescent="0.3">
      <c r="A865">
        <v>-1.4099789533633971</v>
      </c>
    </row>
    <row r="866" spans="1:1" x14ac:dyDescent="0.3">
      <c r="A866">
        <v>-1.081619625807634</v>
      </c>
    </row>
    <row r="867" spans="1:1" x14ac:dyDescent="0.3">
      <c r="A867">
        <v>-0.10769442045476001</v>
      </c>
    </row>
    <row r="868" spans="1:1" x14ac:dyDescent="0.3">
      <c r="A868">
        <v>0.1669357050087337</v>
      </c>
    </row>
    <row r="869" spans="1:1" x14ac:dyDescent="0.3">
      <c r="A869">
        <v>5.792090324439933E-2</v>
      </c>
    </row>
    <row r="870" spans="1:1" x14ac:dyDescent="0.3">
      <c r="A870">
        <v>-1.9072494393050969</v>
      </c>
    </row>
    <row r="871" spans="1:1" x14ac:dyDescent="0.3">
      <c r="A871">
        <v>0.11636902437792759</v>
      </c>
    </row>
    <row r="872" spans="1:1" x14ac:dyDescent="0.3">
      <c r="A872">
        <v>4.1518639426826952E-2</v>
      </c>
    </row>
    <row r="873" spans="1:1" x14ac:dyDescent="0.3">
      <c r="A873">
        <v>-0.83493464347113222</v>
      </c>
    </row>
    <row r="874" spans="1:1" x14ac:dyDescent="0.3">
      <c r="A874">
        <v>-0.78614449014231091</v>
      </c>
    </row>
    <row r="875" spans="1:1" x14ac:dyDescent="0.3">
      <c r="A875">
        <v>-0.28904558037218531</v>
      </c>
    </row>
    <row r="876" spans="1:1" x14ac:dyDescent="0.3">
      <c r="A876">
        <v>-1.7206832895663919</v>
      </c>
    </row>
    <row r="877" spans="1:1" x14ac:dyDescent="0.3">
      <c r="A877">
        <v>-0.48716967042067127</v>
      </c>
    </row>
    <row r="878" spans="1:1" x14ac:dyDescent="0.3">
      <c r="A878">
        <v>-9.4186041198052989E-2</v>
      </c>
    </row>
    <row r="879" spans="1:1" x14ac:dyDescent="0.3">
      <c r="A879">
        <v>1.1368368174664489</v>
      </c>
    </row>
    <row r="880" spans="1:1" x14ac:dyDescent="0.3">
      <c r="A880">
        <v>1.781825042673864</v>
      </c>
    </row>
    <row r="881" spans="1:1" x14ac:dyDescent="0.3">
      <c r="A881">
        <v>0.70933693080946592</v>
      </c>
    </row>
    <row r="882" spans="1:1" x14ac:dyDescent="0.3">
      <c r="A882">
        <v>6.2531097526698498E-3</v>
      </c>
    </row>
    <row r="883" spans="1:1" x14ac:dyDescent="0.3">
      <c r="A883">
        <v>-0.99113899573557851</v>
      </c>
    </row>
    <row r="884" spans="1:1" x14ac:dyDescent="0.3">
      <c r="A884">
        <v>-1.0555002252695189</v>
      </c>
    </row>
    <row r="885" spans="1:1" x14ac:dyDescent="0.3">
      <c r="A885">
        <v>0.2055046536082592</v>
      </c>
    </row>
    <row r="886" spans="1:1" x14ac:dyDescent="0.3">
      <c r="A886">
        <v>1.9360602691412361</v>
      </c>
    </row>
    <row r="887" spans="1:1" x14ac:dyDescent="0.3">
      <c r="A887">
        <v>2.2836515842631639</v>
      </c>
    </row>
    <row r="888" spans="1:1" x14ac:dyDescent="0.3">
      <c r="A888">
        <v>-0.23138156064646889</v>
      </c>
    </row>
    <row r="889" spans="1:1" x14ac:dyDescent="0.3">
      <c r="A889">
        <v>0.65991101371058791</v>
      </c>
    </row>
    <row r="890" spans="1:1" x14ac:dyDescent="0.3">
      <c r="A890">
        <v>1.4982064716008161</v>
      </c>
    </row>
    <row r="891" spans="1:1" x14ac:dyDescent="0.3">
      <c r="A891">
        <v>1.6661646742503711</v>
      </c>
    </row>
    <row r="892" spans="1:1" x14ac:dyDescent="0.3">
      <c r="A892">
        <v>0.3113849088564743</v>
      </c>
    </row>
    <row r="893" spans="1:1" x14ac:dyDescent="0.3">
      <c r="A893">
        <v>1.2824799546842429</v>
      </c>
    </row>
    <row r="894" spans="1:1" x14ac:dyDescent="0.3">
      <c r="A894">
        <v>1.627217426382636</v>
      </c>
    </row>
    <row r="895" spans="1:1" x14ac:dyDescent="0.3">
      <c r="A895">
        <v>1.8017087828259351</v>
      </c>
    </row>
    <row r="896" spans="1:1" x14ac:dyDescent="0.3">
      <c r="A896">
        <v>0.87978894527391205</v>
      </c>
    </row>
    <row r="897" spans="1:1" x14ac:dyDescent="0.3">
      <c r="A897">
        <v>1.4617440394853189</v>
      </c>
    </row>
    <row r="898" spans="1:1" x14ac:dyDescent="0.3">
      <c r="A898">
        <v>1.134812712085536</v>
      </c>
    </row>
    <row r="899" spans="1:1" x14ac:dyDescent="0.3">
      <c r="A899">
        <v>0.72659863680383918</v>
      </c>
    </row>
    <row r="900" spans="1:1" x14ac:dyDescent="0.3">
      <c r="A900">
        <v>1.995717142280965</v>
      </c>
    </row>
    <row r="901" spans="1:1" x14ac:dyDescent="0.3">
      <c r="A901">
        <v>2.154225376242906</v>
      </c>
    </row>
    <row r="902" spans="1:1" x14ac:dyDescent="0.3">
      <c r="A902">
        <v>-1.366084730028678</v>
      </c>
    </row>
    <row r="903" spans="1:1" x14ac:dyDescent="0.3">
      <c r="A903">
        <v>-1.382801760097556</v>
      </c>
    </row>
    <row r="904" spans="1:1" x14ac:dyDescent="0.3">
      <c r="A904">
        <v>-2.4553675277002629</v>
      </c>
    </row>
    <row r="905" spans="1:1" x14ac:dyDescent="0.3">
      <c r="A905">
        <v>-1.129965623679249</v>
      </c>
    </row>
    <row r="906" spans="1:1" x14ac:dyDescent="0.3">
      <c r="A906">
        <v>-1.2335754473512539</v>
      </c>
    </row>
    <row r="907" spans="1:1" x14ac:dyDescent="0.3">
      <c r="A907">
        <v>3.7801989174320427E-2</v>
      </c>
    </row>
    <row r="908" spans="1:1" x14ac:dyDescent="0.3">
      <c r="A908">
        <v>0.49428973278971261</v>
      </c>
    </row>
    <row r="909" spans="1:1" x14ac:dyDescent="0.3">
      <c r="A909">
        <v>0.36804313161982899</v>
      </c>
    </row>
    <row r="910" spans="1:1" x14ac:dyDescent="0.3">
      <c r="A910">
        <v>0.1725223603382682</v>
      </c>
    </row>
    <row r="911" spans="1:1" x14ac:dyDescent="0.3">
      <c r="A911">
        <v>-0.24050149041667049</v>
      </c>
    </row>
    <row r="912" spans="1:1" x14ac:dyDescent="0.3">
      <c r="A912">
        <v>3.1155458245598788E-2</v>
      </c>
    </row>
    <row r="913" spans="1:1" x14ac:dyDescent="0.3">
      <c r="A913">
        <v>-1.086445433928386</v>
      </c>
    </row>
    <row r="914" spans="1:1" x14ac:dyDescent="0.3">
      <c r="A914">
        <v>-8.7717733263516395E-2</v>
      </c>
    </row>
    <row r="915" spans="1:1" x14ac:dyDescent="0.3">
      <c r="A915">
        <v>-0.45551604665810191</v>
      </c>
    </row>
    <row r="916" spans="1:1" x14ac:dyDescent="0.3">
      <c r="A916">
        <v>-1.062828818245664</v>
      </c>
    </row>
    <row r="917" spans="1:1" x14ac:dyDescent="0.3">
      <c r="A917">
        <v>-1.070093649555375</v>
      </c>
    </row>
    <row r="918" spans="1:1" x14ac:dyDescent="0.3">
      <c r="A918">
        <v>1.1256032721257121</v>
      </c>
    </row>
    <row r="919" spans="1:1" x14ac:dyDescent="0.3">
      <c r="A919">
        <v>-0.97007685485873851</v>
      </c>
    </row>
    <row r="920" spans="1:1" x14ac:dyDescent="0.3">
      <c r="A920">
        <v>-1.027914708365985</v>
      </c>
    </row>
    <row r="921" spans="1:1" x14ac:dyDescent="0.3">
      <c r="A921">
        <v>-0.61295106673780442</v>
      </c>
    </row>
    <row r="922" spans="1:1" x14ac:dyDescent="0.3">
      <c r="A922">
        <v>-0.96672452792160968</v>
      </c>
    </row>
    <row r="923" spans="1:1" x14ac:dyDescent="0.3">
      <c r="A923">
        <v>-1.0879763014569619</v>
      </c>
    </row>
    <row r="924" spans="1:1" x14ac:dyDescent="0.3">
      <c r="A924">
        <v>-0.3792350730437527</v>
      </c>
    </row>
    <row r="925" spans="1:1" x14ac:dyDescent="0.3">
      <c r="A925">
        <v>-4.2950462587984822E-2</v>
      </c>
    </row>
    <row r="926" spans="1:1" x14ac:dyDescent="0.3">
      <c r="A926">
        <v>-0.70381983213129051</v>
      </c>
    </row>
    <row r="927" spans="1:1" x14ac:dyDescent="0.3">
      <c r="A927">
        <v>7.4759031378621332E-2</v>
      </c>
    </row>
    <row r="928" spans="1:1" x14ac:dyDescent="0.3">
      <c r="A928">
        <v>0.2318149767250352</v>
      </c>
    </row>
    <row r="929" spans="1:1" x14ac:dyDescent="0.3">
      <c r="A929">
        <v>0.84861223319555135</v>
      </c>
    </row>
    <row r="930" spans="1:1" x14ac:dyDescent="0.3">
      <c r="A930">
        <v>-0.73323509824652644</v>
      </c>
    </row>
    <row r="931" spans="1:1" x14ac:dyDescent="0.3">
      <c r="A931">
        <v>-1.281181006994901</v>
      </c>
    </row>
    <row r="932" spans="1:1" x14ac:dyDescent="0.3">
      <c r="A932">
        <v>-1.0895292135692189</v>
      </c>
    </row>
    <row r="933" spans="1:1" x14ac:dyDescent="0.3">
      <c r="A933">
        <v>0.1963807485837562</v>
      </c>
    </row>
    <row r="934" spans="1:1" x14ac:dyDescent="0.3">
      <c r="A934">
        <v>-0.39156483797081221</v>
      </c>
    </row>
    <row r="935" spans="1:1" x14ac:dyDescent="0.3">
      <c r="A935">
        <v>-1.306982377530425</v>
      </c>
    </row>
    <row r="936" spans="1:1" x14ac:dyDescent="0.3">
      <c r="A936">
        <v>-0.14314217382389241</v>
      </c>
    </row>
    <row r="937" spans="1:1" x14ac:dyDescent="0.3">
      <c r="A937">
        <v>0.36515714252180848</v>
      </c>
    </row>
    <row r="938" spans="1:1" x14ac:dyDescent="0.3">
      <c r="A938">
        <v>-0.97006106714870866</v>
      </c>
    </row>
    <row r="939" spans="1:1" x14ac:dyDescent="0.3">
      <c r="A939">
        <v>1.367634493216231</v>
      </c>
    </row>
    <row r="940" spans="1:1" x14ac:dyDescent="0.3">
      <c r="A940">
        <v>2.456018594148655</v>
      </c>
    </row>
    <row r="941" spans="1:1" x14ac:dyDescent="0.3">
      <c r="A941">
        <v>0.3302639312272162</v>
      </c>
    </row>
    <row r="942" spans="1:1" x14ac:dyDescent="0.3">
      <c r="A942">
        <v>2.3845612155818632</v>
      </c>
    </row>
    <row r="943" spans="1:1" x14ac:dyDescent="0.3">
      <c r="A943">
        <v>-5.9923889642060642E-2</v>
      </c>
    </row>
    <row r="944" spans="1:1" x14ac:dyDescent="0.3">
      <c r="A944">
        <v>6.009576234505247E-2</v>
      </c>
    </row>
    <row r="945" spans="1:1" x14ac:dyDescent="0.3">
      <c r="A945">
        <v>-1.099212093855557</v>
      </c>
    </row>
    <row r="946" spans="1:1" x14ac:dyDescent="0.3">
      <c r="A946">
        <v>-1.1464575539026709</v>
      </c>
    </row>
    <row r="947" spans="1:1" x14ac:dyDescent="0.3">
      <c r="A947">
        <v>-1.1513023864939169</v>
      </c>
    </row>
    <row r="948" spans="1:1" x14ac:dyDescent="0.3">
      <c r="A948">
        <v>-0.48302658931717818</v>
      </c>
    </row>
    <row r="949" spans="1:1" x14ac:dyDescent="0.3">
      <c r="A949">
        <v>-1.4624582304621829</v>
      </c>
    </row>
    <row r="950" spans="1:1" x14ac:dyDescent="0.3">
      <c r="A950">
        <v>-3.7807704836442011</v>
      </c>
    </row>
    <row r="951" spans="1:1" x14ac:dyDescent="0.3">
      <c r="A951">
        <v>-2.7423504376706691</v>
      </c>
    </row>
    <row r="952" spans="1:1" x14ac:dyDescent="0.3">
      <c r="A952">
        <v>-2.666345111326117</v>
      </c>
    </row>
    <row r="953" spans="1:1" x14ac:dyDescent="0.3">
      <c r="A953">
        <v>-1.6556601599228979</v>
      </c>
    </row>
    <row r="954" spans="1:1" x14ac:dyDescent="0.3">
      <c r="A954">
        <v>-2.0074719204548468</v>
      </c>
    </row>
    <row r="955" spans="1:1" x14ac:dyDescent="0.3">
      <c r="A955">
        <v>-0.61296557861404866</v>
      </c>
    </row>
    <row r="956" spans="1:1" x14ac:dyDescent="0.3">
      <c r="A956">
        <v>-0.39988847245417941</v>
      </c>
    </row>
    <row r="957" spans="1:1" x14ac:dyDescent="0.3">
      <c r="A957">
        <v>0.32346608176586689</v>
      </c>
    </row>
    <row r="958" spans="1:1" x14ac:dyDescent="0.3">
      <c r="A958">
        <v>-0.76851384757734154</v>
      </c>
    </row>
    <row r="959" spans="1:1" x14ac:dyDescent="0.3">
      <c r="A959">
        <v>-0.74929215144789973</v>
      </c>
    </row>
    <row r="960" spans="1:1" x14ac:dyDescent="0.3">
      <c r="A960">
        <v>-0.1804834185173452</v>
      </c>
    </row>
    <row r="961" spans="1:1" x14ac:dyDescent="0.3">
      <c r="A961">
        <v>-0.21571692194567829</v>
      </c>
    </row>
    <row r="962" spans="1:1" x14ac:dyDescent="0.3">
      <c r="A962">
        <v>1.5030356211545239</v>
      </c>
    </row>
    <row r="963" spans="1:1" x14ac:dyDescent="0.3">
      <c r="A963">
        <v>-0.91078377840080726</v>
      </c>
    </row>
    <row r="964" spans="1:1" x14ac:dyDescent="0.3">
      <c r="A964">
        <v>0.1185768666189244</v>
      </c>
    </row>
    <row r="965" spans="1:1" x14ac:dyDescent="0.3">
      <c r="A965">
        <v>9.7422464576301826E-2</v>
      </c>
    </row>
    <row r="966" spans="1:1" x14ac:dyDescent="0.3">
      <c r="A966">
        <v>1.013909529264204</v>
      </c>
    </row>
    <row r="967" spans="1:1" x14ac:dyDescent="0.3">
      <c r="A967">
        <v>0.6109281780986584</v>
      </c>
    </row>
    <row r="968" spans="1:1" x14ac:dyDescent="0.3">
      <c r="A968">
        <v>-2.3121045187180829</v>
      </c>
    </row>
    <row r="969" spans="1:1" x14ac:dyDescent="0.3">
      <c r="A969">
        <v>-1.198167313679505</v>
      </c>
    </row>
    <row r="970" spans="1:1" x14ac:dyDescent="0.3">
      <c r="A970">
        <v>-1.0570963818366379</v>
      </c>
    </row>
    <row r="971" spans="1:1" x14ac:dyDescent="0.3">
      <c r="A971">
        <v>-1.7293227968839</v>
      </c>
    </row>
    <row r="972" spans="1:1" x14ac:dyDescent="0.3">
      <c r="A972">
        <v>-1.866994854003269</v>
      </c>
    </row>
    <row r="973" spans="1:1" x14ac:dyDescent="0.3">
      <c r="A973">
        <v>-1.251232849600981</v>
      </c>
    </row>
    <row r="974" spans="1:1" x14ac:dyDescent="0.3">
      <c r="A974">
        <v>1.576200450054285</v>
      </c>
    </row>
    <row r="975" spans="1:1" x14ac:dyDescent="0.3">
      <c r="A975">
        <v>1.2915138887757089</v>
      </c>
    </row>
    <row r="976" spans="1:1" x14ac:dyDescent="0.3">
      <c r="A976">
        <v>-7.5636646234704785E-2</v>
      </c>
    </row>
    <row r="977" spans="1:1" x14ac:dyDescent="0.3">
      <c r="A977">
        <v>1.8506648151402649</v>
      </c>
    </row>
    <row r="978" spans="1:1" x14ac:dyDescent="0.3">
      <c r="A978">
        <v>0.85694558840257229</v>
      </c>
    </row>
    <row r="979" spans="1:1" x14ac:dyDescent="0.3">
      <c r="A979">
        <v>-0.22986418370366279</v>
      </c>
    </row>
    <row r="980" spans="1:1" x14ac:dyDescent="0.3">
      <c r="A980">
        <v>-1.4081362473545651</v>
      </c>
    </row>
    <row r="981" spans="1:1" x14ac:dyDescent="0.3">
      <c r="A981">
        <v>-1.659504536235987</v>
      </c>
    </row>
    <row r="982" spans="1:1" x14ac:dyDescent="0.3">
      <c r="A982">
        <v>0.77351408860177129</v>
      </c>
    </row>
    <row r="983" spans="1:1" x14ac:dyDescent="0.3">
      <c r="A983">
        <v>1.448021296885315</v>
      </c>
    </row>
    <row r="984" spans="1:1" x14ac:dyDescent="0.3">
      <c r="A984">
        <v>1.750141679246799</v>
      </c>
    </row>
    <row r="985" spans="1:1" x14ac:dyDescent="0.3">
      <c r="A985">
        <v>1.371724479517886</v>
      </c>
    </row>
    <row r="986" spans="1:1" x14ac:dyDescent="0.3">
      <c r="A986">
        <v>1.2433279324015201</v>
      </c>
    </row>
    <row r="987" spans="1:1" x14ac:dyDescent="0.3">
      <c r="A987">
        <v>1.4596062734511921</v>
      </c>
    </row>
    <row r="988" spans="1:1" x14ac:dyDescent="0.3">
      <c r="A988">
        <v>1.2375738679928769</v>
      </c>
    </row>
    <row r="989" spans="1:1" x14ac:dyDescent="0.3">
      <c r="A989">
        <v>1.0213549424693309</v>
      </c>
    </row>
    <row r="990" spans="1:1" x14ac:dyDescent="0.3">
      <c r="A990">
        <v>1.6687750960323839</v>
      </c>
    </row>
    <row r="991" spans="1:1" x14ac:dyDescent="0.3">
      <c r="A991">
        <v>1.0022898647433791</v>
      </c>
    </row>
    <row r="992" spans="1:1" x14ac:dyDescent="0.3">
      <c r="A992">
        <v>0.95660665089132557</v>
      </c>
    </row>
    <row r="993" spans="1:1" x14ac:dyDescent="0.3">
      <c r="A993">
        <v>-0.22784770373073071</v>
      </c>
    </row>
    <row r="994" spans="1:1" x14ac:dyDescent="0.3">
      <c r="A994">
        <v>1.4244767120912769</v>
      </c>
    </row>
    <row r="995" spans="1:1" x14ac:dyDescent="0.3">
      <c r="A995">
        <v>2.389892326629862</v>
      </c>
    </row>
    <row r="996" spans="1:1" x14ac:dyDescent="0.3">
      <c r="A996">
        <v>-0.1393336030880179</v>
      </c>
    </row>
    <row r="997" spans="1:1" x14ac:dyDescent="0.3">
      <c r="A997">
        <v>-0.31385320075107082</v>
      </c>
    </row>
    <row r="998" spans="1:1" x14ac:dyDescent="0.3">
      <c r="A998">
        <v>0.33015881618512882</v>
      </c>
    </row>
    <row r="999" spans="1:1" x14ac:dyDescent="0.3">
      <c r="A999">
        <v>0.71384740884716824</v>
      </c>
    </row>
    <row r="1000" spans="1:1" x14ac:dyDescent="0.3">
      <c r="A1000">
        <v>1.2605419151430921</v>
      </c>
    </row>
    <row r="1001" spans="1:1" x14ac:dyDescent="0.3">
      <c r="A1001">
        <v>0.43672132366614957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F0FE9-9DD5-43CF-925B-3275FEEBA487}">
  <sheetPr codeName="XLSTAT_20211005_173753_1_HID">
    <tabColor rgb="FF007800"/>
  </sheetPr>
  <dimension ref="A1:B61"/>
  <sheetViews>
    <sheetView workbookViewId="0"/>
  </sheetViews>
  <sheetFormatPr baseColWidth="10" defaultColWidth="8.88671875" defaultRowHeight="14.4" x14ac:dyDescent="0.3"/>
  <sheetData>
    <row r="1" spans="1:2" x14ac:dyDescent="0.3">
      <c r="A1" s="10">
        <v>1</v>
      </c>
      <c r="B1" s="10">
        <v>1</v>
      </c>
    </row>
    <row r="2" spans="1:2" x14ac:dyDescent="0.3">
      <c r="A2" s="10">
        <v>0.95833333333333337</v>
      </c>
      <c r="B2" s="10">
        <v>1</v>
      </c>
    </row>
    <row r="3" spans="1:2" x14ac:dyDescent="0.3">
      <c r="A3" s="10">
        <v>0.91666666666666674</v>
      </c>
      <c r="B3" s="10">
        <v>1</v>
      </c>
    </row>
    <row r="4" spans="1:2" x14ac:dyDescent="0.3">
      <c r="A4" s="10">
        <v>0.87500000000000011</v>
      </c>
      <c r="B4" s="10">
        <v>1</v>
      </c>
    </row>
    <row r="5" spans="1:2" x14ac:dyDescent="0.3">
      <c r="A5" s="10">
        <v>0.83333333333333348</v>
      </c>
      <c r="B5" s="10">
        <v>1</v>
      </c>
    </row>
    <row r="6" spans="1:2" x14ac:dyDescent="0.3">
      <c r="A6" s="10">
        <v>0.79166666666666685</v>
      </c>
      <c r="B6" s="10">
        <v>1</v>
      </c>
    </row>
    <row r="7" spans="1:2" x14ac:dyDescent="0.3">
      <c r="A7" s="10">
        <v>0.75000000000000022</v>
      </c>
      <c r="B7" s="10">
        <v>1</v>
      </c>
    </row>
    <row r="8" spans="1:2" x14ac:dyDescent="0.3">
      <c r="A8" s="10">
        <v>0.70833333333333359</v>
      </c>
      <c r="B8" s="10">
        <v>1</v>
      </c>
    </row>
    <row r="9" spans="1:2" x14ac:dyDescent="0.3">
      <c r="A9" s="10">
        <v>0.66666666666666696</v>
      </c>
      <c r="B9" s="10">
        <v>1</v>
      </c>
    </row>
    <row r="10" spans="1:2" x14ac:dyDescent="0.3">
      <c r="A10" s="10">
        <v>0.62500000000000033</v>
      </c>
      <c r="B10" s="10">
        <v>1</v>
      </c>
    </row>
    <row r="11" spans="1:2" x14ac:dyDescent="0.3">
      <c r="A11" s="10">
        <v>0.5833333333333337</v>
      </c>
      <c r="B11" s="10">
        <v>1</v>
      </c>
    </row>
    <row r="12" spans="1:2" x14ac:dyDescent="0.3">
      <c r="A12" s="10">
        <v>0.5833333333333337</v>
      </c>
      <c r="B12" s="10">
        <v>0.97222222222222221</v>
      </c>
    </row>
    <row r="13" spans="1:2" x14ac:dyDescent="0.3">
      <c r="A13" s="10">
        <v>0.5833333333333337</v>
      </c>
      <c r="B13" s="10">
        <v>0.94444444444444442</v>
      </c>
    </row>
    <row r="14" spans="1:2" x14ac:dyDescent="0.3">
      <c r="A14" s="10">
        <v>0.5833333333333337</v>
      </c>
      <c r="B14" s="10">
        <v>0.91666666666666663</v>
      </c>
    </row>
    <row r="15" spans="1:2" x14ac:dyDescent="0.3">
      <c r="A15" s="10">
        <v>0.54166666666666707</v>
      </c>
      <c r="B15" s="10">
        <v>0.91666666666666663</v>
      </c>
    </row>
    <row r="16" spans="1:2" x14ac:dyDescent="0.3">
      <c r="A16" s="10">
        <v>0.50000000000000044</v>
      </c>
      <c r="B16" s="10">
        <v>0.91666666666666663</v>
      </c>
    </row>
    <row r="17" spans="1:2" x14ac:dyDescent="0.3">
      <c r="A17" s="10">
        <v>0.45833333333333376</v>
      </c>
      <c r="B17" s="10">
        <v>0.91666666666666663</v>
      </c>
    </row>
    <row r="18" spans="1:2" x14ac:dyDescent="0.3">
      <c r="A18" s="10">
        <v>0.45833333333333376</v>
      </c>
      <c r="B18" s="10">
        <v>0.88888888888888884</v>
      </c>
    </row>
    <row r="19" spans="1:2" x14ac:dyDescent="0.3">
      <c r="A19" s="10">
        <v>0.41666666666666707</v>
      </c>
      <c r="B19" s="10">
        <v>0.88888888888888884</v>
      </c>
    </row>
    <row r="20" spans="1:2" x14ac:dyDescent="0.3">
      <c r="A20" s="10">
        <v>0.41666666666666707</v>
      </c>
      <c r="B20" s="10">
        <v>0.86111111111111105</v>
      </c>
    </row>
    <row r="21" spans="1:2" x14ac:dyDescent="0.3">
      <c r="A21" s="10">
        <v>0.37500000000000039</v>
      </c>
      <c r="B21" s="10">
        <v>0.86111111111111105</v>
      </c>
    </row>
    <row r="22" spans="1:2" x14ac:dyDescent="0.3">
      <c r="A22" s="10">
        <v>0.3333333333333337</v>
      </c>
      <c r="B22" s="10">
        <v>0.86111111111111105</v>
      </c>
    </row>
    <row r="23" spans="1:2" x14ac:dyDescent="0.3">
      <c r="A23" s="10">
        <v>0.3333333333333337</v>
      </c>
      <c r="B23" s="10">
        <v>0.83333333333333326</v>
      </c>
    </row>
    <row r="24" spans="1:2" x14ac:dyDescent="0.3">
      <c r="A24" s="10">
        <v>0.29166666666666702</v>
      </c>
      <c r="B24" s="10">
        <v>0.83333333333333326</v>
      </c>
    </row>
    <row r="25" spans="1:2" x14ac:dyDescent="0.3">
      <c r="A25" s="10">
        <v>0.29166666666666702</v>
      </c>
      <c r="B25" s="10">
        <v>0.80555555555555547</v>
      </c>
    </row>
    <row r="26" spans="1:2" x14ac:dyDescent="0.3">
      <c r="A26" s="10">
        <v>0.25000000000000033</v>
      </c>
      <c r="B26" s="10">
        <v>0.80555555555555547</v>
      </c>
    </row>
    <row r="27" spans="1:2" x14ac:dyDescent="0.3">
      <c r="A27" s="10">
        <v>0.20833333333333368</v>
      </c>
      <c r="B27" s="10">
        <v>0.80555555555555547</v>
      </c>
    </row>
    <row r="28" spans="1:2" x14ac:dyDescent="0.3">
      <c r="A28" s="10">
        <v>0.16666666666666702</v>
      </c>
      <c r="B28" s="10">
        <v>0.80555555555555547</v>
      </c>
    </row>
    <row r="29" spans="1:2" x14ac:dyDescent="0.3">
      <c r="A29" s="10">
        <v>0.12500000000000036</v>
      </c>
      <c r="B29" s="10">
        <v>0.80555555555555547</v>
      </c>
    </row>
    <row r="30" spans="1:2" x14ac:dyDescent="0.3">
      <c r="A30" s="10">
        <v>0.12500000000000036</v>
      </c>
      <c r="B30" s="10">
        <v>0.77777777777777768</v>
      </c>
    </row>
    <row r="31" spans="1:2" x14ac:dyDescent="0.3">
      <c r="A31" s="10">
        <v>0.12500000000000036</v>
      </c>
      <c r="B31" s="10">
        <v>0.74999999999999989</v>
      </c>
    </row>
    <row r="32" spans="1:2" x14ac:dyDescent="0.3">
      <c r="A32" s="10">
        <v>8.3333333333333703E-2</v>
      </c>
      <c r="B32" s="10">
        <v>0.74999999999999989</v>
      </c>
    </row>
    <row r="33" spans="1:2" x14ac:dyDescent="0.3">
      <c r="A33" s="10">
        <v>4.1666666666667039E-2</v>
      </c>
      <c r="B33" s="10">
        <v>0.74999999999999989</v>
      </c>
    </row>
    <row r="34" spans="1:2" x14ac:dyDescent="0.3">
      <c r="A34" s="10">
        <v>4.1666666666667039E-2</v>
      </c>
      <c r="B34" s="10">
        <v>0.7222222222222221</v>
      </c>
    </row>
    <row r="35" spans="1:2" x14ac:dyDescent="0.3">
      <c r="A35" s="10">
        <v>4.1666666666667039E-2</v>
      </c>
      <c r="B35" s="10">
        <v>0.69444444444444431</v>
      </c>
    </row>
    <row r="36" spans="1:2" x14ac:dyDescent="0.3">
      <c r="A36" s="10">
        <v>4.1666666666667039E-2</v>
      </c>
      <c r="B36" s="10">
        <v>0.66666666666666652</v>
      </c>
    </row>
    <row r="37" spans="1:2" x14ac:dyDescent="0.3">
      <c r="A37" s="10">
        <v>3.7470027081099033E-16</v>
      </c>
      <c r="B37" s="10">
        <v>0.66666666666666652</v>
      </c>
    </row>
    <row r="38" spans="1:2" x14ac:dyDescent="0.3">
      <c r="A38" s="10">
        <v>3.7470027081099033E-16</v>
      </c>
      <c r="B38" s="10">
        <v>0.63888888888888873</v>
      </c>
    </row>
    <row r="39" spans="1:2" x14ac:dyDescent="0.3">
      <c r="A39" s="10">
        <v>3.7470027081099033E-16</v>
      </c>
      <c r="B39" s="10">
        <v>0.61111111111111094</v>
      </c>
    </row>
    <row r="40" spans="1:2" x14ac:dyDescent="0.3">
      <c r="A40" s="10">
        <v>3.7470027081099033E-16</v>
      </c>
      <c r="B40" s="10">
        <v>0.58333333333333315</v>
      </c>
    </row>
    <row r="41" spans="1:2" x14ac:dyDescent="0.3">
      <c r="A41" s="10">
        <v>3.7470027081099033E-16</v>
      </c>
      <c r="B41" s="10">
        <v>0.55555555555555536</v>
      </c>
    </row>
    <row r="42" spans="1:2" x14ac:dyDescent="0.3">
      <c r="A42" s="10">
        <v>3.7470027081099033E-16</v>
      </c>
      <c r="B42" s="10">
        <v>0.52777777777777757</v>
      </c>
    </row>
    <row r="43" spans="1:2" x14ac:dyDescent="0.3">
      <c r="A43" s="10">
        <v>3.7470027081099033E-16</v>
      </c>
      <c r="B43" s="10">
        <v>0.49999999999999978</v>
      </c>
    </row>
    <row r="44" spans="1:2" x14ac:dyDescent="0.3">
      <c r="A44" s="10">
        <v>3.7470027081099033E-16</v>
      </c>
      <c r="B44" s="10">
        <v>0.47222222222222199</v>
      </c>
    </row>
    <row r="45" spans="1:2" x14ac:dyDescent="0.3">
      <c r="A45" s="10">
        <v>3.7470027081099033E-16</v>
      </c>
      <c r="B45" s="10">
        <v>0.4444444444444442</v>
      </c>
    </row>
    <row r="46" spans="1:2" x14ac:dyDescent="0.3">
      <c r="A46" s="10">
        <v>3.7470027081099033E-16</v>
      </c>
      <c r="B46" s="10">
        <v>0.41666666666666641</v>
      </c>
    </row>
    <row r="47" spans="1:2" x14ac:dyDescent="0.3">
      <c r="A47" s="10">
        <v>3.7470027081099033E-16</v>
      </c>
      <c r="B47" s="10">
        <v>0.38888888888888862</v>
      </c>
    </row>
    <row r="48" spans="1:2" x14ac:dyDescent="0.3">
      <c r="A48" s="10">
        <v>3.7470027081099033E-16</v>
      </c>
      <c r="B48" s="10">
        <v>0.36111111111111083</v>
      </c>
    </row>
    <row r="49" spans="1:2" x14ac:dyDescent="0.3">
      <c r="A49" s="10">
        <v>3.7470027081099033E-16</v>
      </c>
      <c r="B49" s="10">
        <v>0.33333333333333304</v>
      </c>
    </row>
    <row r="50" spans="1:2" x14ac:dyDescent="0.3">
      <c r="A50" s="10">
        <v>3.7470027081099033E-16</v>
      </c>
      <c r="B50" s="10">
        <v>0.30555555555555525</v>
      </c>
    </row>
    <row r="51" spans="1:2" x14ac:dyDescent="0.3">
      <c r="A51" s="10">
        <v>3.7470027081099033E-16</v>
      </c>
      <c r="B51" s="10">
        <v>0.27777777777777746</v>
      </c>
    </row>
    <row r="52" spans="1:2" x14ac:dyDescent="0.3">
      <c r="A52" s="10">
        <v>3.7470027081099033E-16</v>
      </c>
      <c r="B52" s="10">
        <v>0.24999999999999967</v>
      </c>
    </row>
    <row r="53" spans="1:2" x14ac:dyDescent="0.3">
      <c r="A53" s="10">
        <v>3.7470027081099033E-16</v>
      </c>
      <c r="B53" s="10">
        <v>0.22222222222222188</v>
      </c>
    </row>
    <row r="54" spans="1:2" x14ac:dyDescent="0.3">
      <c r="A54" s="10">
        <v>3.7470027081099033E-16</v>
      </c>
      <c r="B54" s="10">
        <v>0.19444444444444409</v>
      </c>
    </row>
    <row r="55" spans="1:2" x14ac:dyDescent="0.3">
      <c r="A55" s="10">
        <v>3.7470027081099033E-16</v>
      </c>
      <c r="B55" s="10">
        <v>0.1666666666666663</v>
      </c>
    </row>
    <row r="56" spans="1:2" x14ac:dyDescent="0.3">
      <c r="A56" s="10">
        <v>3.7470027081099033E-16</v>
      </c>
      <c r="B56" s="10">
        <v>0.13888888888888851</v>
      </c>
    </row>
    <row r="57" spans="1:2" x14ac:dyDescent="0.3">
      <c r="A57" s="10">
        <v>3.7470027081099033E-16</v>
      </c>
      <c r="B57" s="10">
        <v>0.11111111111111073</v>
      </c>
    </row>
    <row r="58" spans="1:2" x14ac:dyDescent="0.3">
      <c r="A58" s="10">
        <v>3.7470027081099033E-16</v>
      </c>
      <c r="B58" s="10">
        <v>8.3333333333332954E-2</v>
      </c>
    </row>
    <row r="59" spans="1:2" x14ac:dyDescent="0.3">
      <c r="A59" s="10">
        <v>3.7470027081099033E-16</v>
      </c>
      <c r="B59" s="10">
        <v>5.5555555555555178E-2</v>
      </c>
    </row>
    <row r="60" spans="1:2" x14ac:dyDescent="0.3">
      <c r="A60" s="10">
        <v>3.7470027081099033E-16</v>
      </c>
      <c r="B60" s="10">
        <v>2.7777777777777402E-2</v>
      </c>
    </row>
    <row r="61" spans="1:2" x14ac:dyDescent="0.3">
      <c r="A61" s="10">
        <v>3.7470027081099033E-16</v>
      </c>
      <c r="B61" s="10">
        <v>-3.7470027081099033E-16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4143B-51FF-4311-B9A6-5113CF4AC766}">
  <sheetPr codeName="XLSTAT_20211005_173510_1_HID"/>
  <dimension ref="A1:B61"/>
  <sheetViews>
    <sheetView workbookViewId="0"/>
  </sheetViews>
  <sheetFormatPr baseColWidth="10" defaultColWidth="8.88671875" defaultRowHeight="14.4" x14ac:dyDescent="0.3"/>
  <sheetData>
    <row r="1" spans="1:2" x14ac:dyDescent="0.3">
      <c r="A1" s="10">
        <v>1</v>
      </c>
      <c r="B1" s="10">
        <v>1</v>
      </c>
    </row>
    <row r="2" spans="1:2" x14ac:dyDescent="0.3">
      <c r="A2" s="10">
        <v>0.95833333333333337</v>
      </c>
      <c r="B2" s="10">
        <v>1</v>
      </c>
    </row>
    <row r="3" spans="1:2" x14ac:dyDescent="0.3">
      <c r="A3" s="10">
        <v>0.91666666666666674</v>
      </c>
      <c r="B3" s="10">
        <v>1</v>
      </c>
    </row>
    <row r="4" spans="1:2" x14ac:dyDescent="0.3">
      <c r="A4" s="10">
        <v>0.87500000000000011</v>
      </c>
      <c r="B4" s="10">
        <v>1</v>
      </c>
    </row>
    <row r="5" spans="1:2" x14ac:dyDescent="0.3">
      <c r="A5" s="10">
        <v>0.83333333333333348</v>
      </c>
      <c r="B5" s="10">
        <v>1</v>
      </c>
    </row>
    <row r="6" spans="1:2" x14ac:dyDescent="0.3">
      <c r="A6" s="10">
        <v>0.79166666666666685</v>
      </c>
      <c r="B6" s="10">
        <v>1</v>
      </c>
    </row>
    <row r="7" spans="1:2" x14ac:dyDescent="0.3">
      <c r="A7" s="10">
        <v>0.75000000000000022</v>
      </c>
      <c r="B7" s="10">
        <v>1</v>
      </c>
    </row>
    <row r="8" spans="1:2" x14ac:dyDescent="0.3">
      <c r="A8" s="10">
        <v>0.70833333333333359</v>
      </c>
      <c r="B8" s="10">
        <v>1</v>
      </c>
    </row>
    <row r="9" spans="1:2" x14ac:dyDescent="0.3">
      <c r="A9" s="10">
        <v>0.66666666666666696</v>
      </c>
      <c r="B9" s="10">
        <v>1</v>
      </c>
    </row>
    <row r="10" spans="1:2" x14ac:dyDescent="0.3">
      <c r="A10" s="10">
        <v>0.62500000000000033</v>
      </c>
      <c r="B10" s="10">
        <v>1</v>
      </c>
    </row>
    <row r="11" spans="1:2" x14ac:dyDescent="0.3">
      <c r="A11" s="10">
        <v>0.5833333333333337</v>
      </c>
      <c r="B11" s="10">
        <v>1</v>
      </c>
    </row>
    <row r="12" spans="1:2" x14ac:dyDescent="0.3">
      <c r="A12" s="10">
        <v>0.5833333333333337</v>
      </c>
      <c r="B12" s="10">
        <v>0.97222222222222221</v>
      </c>
    </row>
    <row r="13" spans="1:2" x14ac:dyDescent="0.3">
      <c r="A13" s="10">
        <v>0.5833333333333337</v>
      </c>
      <c r="B13" s="10">
        <v>0.94444444444444442</v>
      </c>
    </row>
    <row r="14" spans="1:2" x14ac:dyDescent="0.3">
      <c r="A14" s="10">
        <v>0.5833333333333337</v>
      </c>
      <c r="B14" s="10">
        <v>0.91666666666666663</v>
      </c>
    </row>
    <row r="15" spans="1:2" x14ac:dyDescent="0.3">
      <c r="A15" s="10">
        <v>0.54166666666666707</v>
      </c>
      <c r="B15" s="10">
        <v>0.91666666666666663</v>
      </c>
    </row>
    <row r="16" spans="1:2" x14ac:dyDescent="0.3">
      <c r="A16" s="10">
        <v>0.50000000000000044</v>
      </c>
      <c r="B16" s="10">
        <v>0.91666666666666663</v>
      </c>
    </row>
    <row r="17" spans="1:2" x14ac:dyDescent="0.3">
      <c r="A17" s="10">
        <v>0.45833333333333376</v>
      </c>
      <c r="B17" s="10">
        <v>0.91666666666666663</v>
      </c>
    </row>
    <row r="18" spans="1:2" x14ac:dyDescent="0.3">
      <c r="A18" s="10">
        <v>0.45833333333333376</v>
      </c>
      <c r="B18" s="10">
        <v>0.88888888888888884</v>
      </c>
    </row>
    <row r="19" spans="1:2" x14ac:dyDescent="0.3">
      <c r="A19" s="10">
        <v>0.41666666666666707</v>
      </c>
      <c r="B19" s="10">
        <v>0.88888888888888884</v>
      </c>
    </row>
    <row r="20" spans="1:2" x14ac:dyDescent="0.3">
      <c r="A20" s="10">
        <v>0.41666666666666707</v>
      </c>
      <c r="B20" s="10">
        <v>0.86111111111111105</v>
      </c>
    </row>
    <row r="21" spans="1:2" x14ac:dyDescent="0.3">
      <c r="A21" s="10">
        <v>0.37500000000000039</v>
      </c>
      <c r="B21" s="10">
        <v>0.86111111111111105</v>
      </c>
    </row>
    <row r="22" spans="1:2" x14ac:dyDescent="0.3">
      <c r="A22" s="10">
        <v>0.3333333333333337</v>
      </c>
      <c r="B22" s="10">
        <v>0.86111111111111105</v>
      </c>
    </row>
    <row r="23" spans="1:2" x14ac:dyDescent="0.3">
      <c r="A23" s="10">
        <v>0.3333333333333337</v>
      </c>
      <c r="B23" s="10">
        <v>0.83333333333333326</v>
      </c>
    </row>
    <row r="24" spans="1:2" x14ac:dyDescent="0.3">
      <c r="A24" s="10">
        <v>0.29166666666666702</v>
      </c>
      <c r="B24" s="10">
        <v>0.83333333333333326</v>
      </c>
    </row>
    <row r="25" spans="1:2" x14ac:dyDescent="0.3">
      <c r="A25" s="10">
        <v>0.29166666666666702</v>
      </c>
      <c r="B25" s="10">
        <v>0.80555555555555547</v>
      </c>
    </row>
    <row r="26" spans="1:2" x14ac:dyDescent="0.3">
      <c r="A26" s="10">
        <v>0.25000000000000033</v>
      </c>
      <c r="B26" s="10">
        <v>0.80555555555555547</v>
      </c>
    </row>
    <row r="27" spans="1:2" x14ac:dyDescent="0.3">
      <c r="A27" s="10">
        <v>0.20833333333333368</v>
      </c>
      <c r="B27" s="10">
        <v>0.80555555555555547</v>
      </c>
    </row>
    <row r="28" spans="1:2" x14ac:dyDescent="0.3">
      <c r="A28" s="10">
        <v>0.16666666666666702</v>
      </c>
      <c r="B28" s="10">
        <v>0.80555555555555547</v>
      </c>
    </row>
    <row r="29" spans="1:2" x14ac:dyDescent="0.3">
      <c r="A29" s="10">
        <v>0.12500000000000036</v>
      </c>
      <c r="B29" s="10">
        <v>0.80555555555555547</v>
      </c>
    </row>
    <row r="30" spans="1:2" x14ac:dyDescent="0.3">
      <c r="A30" s="10">
        <v>0.12500000000000036</v>
      </c>
      <c r="B30" s="10">
        <v>0.77777777777777768</v>
      </c>
    </row>
    <row r="31" spans="1:2" x14ac:dyDescent="0.3">
      <c r="A31" s="10">
        <v>0.12500000000000036</v>
      </c>
      <c r="B31" s="10">
        <v>0.74999999999999989</v>
      </c>
    </row>
    <row r="32" spans="1:2" x14ac:dyDescent="0.3">
      <c r="A32" s="10">
        <v>8.3333333333333703E-2</v>
      </c>
      <c r="B32" s="10">
        <v>0.74999999999999989</v>
      </c>
    </row>
    <row r="33" spans="1:2" x14ac:dyDescent="0.3">
      <c r="A33" s="10">
        <v>4.1666666666667039E-2</v>
      </c>
      <c r="B33" s="10">
        <v>0.74999999999999989</v>
      </c>
    </row>
    <row r="34" spans="1:2" x14ac:dyDescent="0.3">
      <c r="A34" s="10">
        <v>4.1666666666667039E-2</v>
      </c>
      <c r="B34" s="10">
        <v>0.7222222222222221</v>
      </c>
    </row>
    <row r="35" spans="1:2" x14ac:dyDescent="0.3">
      <c r="A35" s="10">
        <v>4.1666666666667039E-2</v>
      </c>
      <c r="B35" s="10">
        <v>0.69444444444444431</v>
      </c>
    </row>
    <row r="36" spans="1:2" x14ac:dyDescent="0.3">
      <c r="A36" s="10">
        <v>4.1666666666667039E-2</v>
      </c>
      <c r="B36" s="10">
        <v>0.66666666666666652</v>
      </c>
    </row>
    <row r="37" spans="1:2" x14ac:dyDescent="0.3">
      <c r="A37" s="10">
        <v>3.7470027081099033E-16</v>
      </c>
      <c r="B37" s="10">
        <v>0.66666666666666652</v>
      </c>
    </row>
    <row r="38" spans="1:2" x14ac:dyDescent="0.3">
      <c r="A38" s="10">
        <v>3.7470027081099033E-16</v>
      </c>
      <c r="B38" s="10">
        <v>0.63888888888888873</v>
      </c>
    </row>
    <row r="39" spans="1:2" x14ac:dyDescent="0.3">
      <c r="A39" s="10">
        <v>3.7470027081099033E-16</v>
      </c>
      <c r="B39" s="10">
        <v>0.61111111111111094</v>
      </c>
    </row>
    <row r="40" spans="1:2" x14ac:dyDescent="0.3">
      <c r="A40" s="10">
        <v>3.7470027081099033E-16</v>
      </c>
      <c r="B40" s="10">
        <v>0.58333333333333315</v>
      </c>
    </row>
    <row r="41" spans="1:2" x14ac:dyDescent="0.3">
      <c r="A41" s="10">
        <v>3.7470027081099033E-16</v>
      </c>
      <c r="B41" s="10">
        <v>0.55555555555555536</v>
      </c>
    </row>
    <row r="42" spans="1:2" x14ac:dyDescent="0.3">
      <c r="A42" s="10">
        <v>3.7470027081099033E-16</v>
      </c>
      <c r="B42" s="10">
        <v>0.52777777777777757</v>
      </c>
    </row>
    <row r="43" spans="1:2" x14ac:dyDescent="0.3">
      <c r="A43" s="10">
        <v>3.7470027081099033E-16</v>
      </c>
      <c r="B43" s="10">
        <v>0.49999999999999978</v>
      </c>
    </row>
    <row r="44" spans="1:2" x14ac:dyDescent="0.3">
      <c r="A44" s="10">
        <v>3.7470027081099033E-16</v>
      </c>
      <c r="B44" s="10">
        <v>0.47222222222222199</v>
      </c>
    </row>
    <row r="45" spans="1:2" x14ac:dyDescent="0.3">
      <c r="A45" s="10">
        <v>3.7470027081099033E-16</v>
      </c>
      <c r="B45" s="10">
        <v>0.4444444444444442</v>
      </c>
    </row>
    <row r="46" spans="1:2" x14ac:dyDescent="0.3">
      <c r="A46" s="10">
        <v>3.7470027081099033E-16</v>
      </c>
      <c r="B46" s="10">
        <v>0.41666666666666641</v>
      </c>
    </row>
    <row r="47" spans="1:2" x14ac:dyDescent="0.3">
      <c r="A47" s="10">
        <v>3.7470027081099033E-16</v>
      </c>
      <c r="B47" s="10">
        <v>0.38888888888888862</v>
      </c>
    </row>
    <row r="48" spans="1:2" x14ac:dyDescent="0.3">
      <c r="A48" s="10">
        <v>3.7470027081099033E-16</v>
      </c>
      <c r="B48" s="10">
        <v>0.36111111111111083</v>
      </c>
    </row>
    <row r="49" spans="1:2" x14ac:dyDescent="0.3">
      <c r="A49" s="10">
        <v>3.7470027081099033E-16</v>
      </c>
      <c r="B49" s="10">
        <v>0.33333333333333304</v>
      </c>
    </row>
    <row r="50" spans="1:2" x14ac:dyDescent="0.3">
      <c r="A50" s="10">
        <v>3.7470027081099033E-16</v>
      </c>
      <c r="B50" s="10">
        <v>0.30555555555555525</v>
      </c>
    </row>
    <row r="51" spans="1:2" x14ac:dyDescent="0.3">
      <c r="A51" s="10">
        <v>3.7470027081099033E-16</v>
      </c>
      <c r="B51" s="10">
        <v>0.27777777777777746</v>
      </c>
    </row>
    <row r="52" spans="1:2" x14ac:dyDescent="0.3">
      <c r="A52" s="10">
        <v>3.7470027081099033E-16</v>
      </c>
      <c r="B52" s="10">
        <v>0.24999999999999967</v>
      </c>
    </row>
    <row r="53" spans="1:2" x14ac:dyDescent="0.3">
      <c r="A53" s="10">
        <v>3.7470027081099033E-16</v>
      </c>
      <c r="B53" s="10">
        <v>0.22222222222222188</v>
      </c>
    </row>
    <row r="54" spans="1:2" x14ac:dyDescent="0.3">
      <c r="A54" s="10">
        <v>3.7470027081099033E-16</v>
      </c>
      <c r="B54" s="10">
        <v>0.19444444444444409</v>
      </c>
    </row>
    <row r="55" spans="1:2" x14ac:dyDescent="0.3">
      <c r="A55" s="10">
        <v>3.7470027081099033E-16</v>
      </c>
      <c r="B55" s="10">
        <v>0.1666666666666663</v>
      </c>
    </row>
    <row r="56" spans="1:2" x14ac:dyDescent="0.3">
      <c r="A56" s="10">
        <v>3.7470027081099033E-16</v>
      </c>
      <c r="B56" s="10">
        <v>0.13888888888888851</v>
      </c>
    </row>
    <row r="57" spans="1:2" x14ac:dyDescent="0.3">
      <c r="A57" s="10">
        <v>3.7470027081099033E-16</v>
      </c>
      <c r="B57" s="10">
        <v>0.11111111111111073</v>
      </c>
    </row>
    <row r="58" spans="1:2" x14ac:dyDescent="0.3">
      <c r="A58" s="10">
        <v>3.7470027081099033E-16</v>
      </c>
      <c r="B58" s="10">
        <v>8.3333333333332954E-2</v>
      </c>
    </row>
    <row r="59" spans="1:2" x14ac:dyDescent="0.3">
      <c r="A59" s="10">
        <v>3.7470027081099033E-16</v>
      </c>
      <c r="B59" s="10">
        <v>5.5555555555555178E-2</v>
      </c>
    </row>
    <row r="60" spans="1:2" x14ac:dyDescent="0.3">
      <c r="A60" s="10">
        <v>3.7470027081099033E-16</v>
      </c>
      <c r="B60" s="10">
        <v>2.7777777777777402E-2</v>
      </c>
    </row>
    <row r="61" spans="1:2" x14ac:dyDescent="0.3">
      <c r="A61" s="10">
        <v>3.7470027081099033E-16</v>
      </c>
      <c r="B61" s="10">
        <v>-3.7470027081099033E-16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2C398-1133-4874-9CAF-0A2F86659170}">
  <sheetPr codeName="XLSTAT_20211005_102709_1_HID">
    <tabColor rgb="FF007800"/>
  </sheetPr>
  <dimension ref="A1:H70"/>
  <sheetViews>
    <sheetView workbookViewId="0"/>
  </sheetViews>
  <sheetFormatPr baseColWidth="10" defaultColWidth="8.88671875" defaultRowHeight="14.4" x14ac:dyDescent="0.3"/>
  <sheetData>
    <row r="1" spans="1:8" x14ac:dyDescent="0.3">
      <c r="A1">
        <v>1</v>
      </c>
      <c r="C1">
        <f t="shared" ref="C1:C32" si="0">4350.08117904981+(A1-1)*185.362028895295</f>
        <v>4350.0811790498101</v>
      </c>
      <c r="D1">
        <f t="shared" ref="D1:D32" si="1">0+1*C1-975.456872983591*(1.02702702702703+(C1-9229.5945945946)^2/169427206.030365)^0.5</f>
        <v>3296.0652495612758</v>
      </c>
      <c r="E1">
        <v>1</v>
      </c>
      <c r="G1">
        <f t="shared" ref="G1:G32" si="2">3785.70503959794+(E1-1)*193.541393235178</f>
        <v>3785.70503959794</v>
      </c>
      <c r="H1">
        <f t="shared" ref="H1:H32" si="3">0+1*G1+975.456872983591*(1.02702702702703+(G1-9229.5945945946)^2/169427206.030365)^0.5</f>
        <v>4855.1303177060527</v>
      </c>
    </row>
    <row r="2" spans="1:8" x14ac:dyDescent="0.3">
      <c r="A2">
        <v>2</v>
      </c>
      <c r="C2">
        <f t="shared" si="0"/>
        <v>4535.4432079451053</v>
      </c>
      <c r="D2">
        <f t="shared" si="1"/>
        <v>3486.1656828120849</v>
      </c>
      <c r="E2">
        <v>2</v>
      </c>
      <c r="G2">
        <f t="shared" si="2"/>
        <v>3979.246432833118</v>
      </c>
      <c r="H2">
        <f t="shared" si="3"/>
        <v>5043.2231225298265</v>
      </c>
    </row>
    <row r="3" spans="1:8" x14ac:dyDescent="0.3">
      <c r="A3">
        <v>3</v>
      </c>
      <c r="C3">
        <f t="shared" si="0"/>
        <v>4720.8052368404005</v>
      </c>
      <c r="D3">
        <f t="shared" si="1"/>
        <v>3676.1028886424547</v>
      </c>
      <c r="E3">
        <v>3</v>
      </c>
      <c r="G3">
        <f t="shared" si="2"/>
        <v>4172.7878260682955</v>
      </c>
      <c r="H3">
        <f t="shared" si="3"/>
        <v>5231.4866047545656</v>
      </c>
    </row>
    <row r="4" spans="1:8" x14ac:dyDescent="0.3">
      <c r="A4">
        <v>4</v>
      </c>
      <c r="C4">
        <f t="shared" si="0"/>
        <v>4906.1672657356949</v>
      </c>
      <c r="D4">
        <f t="shared" si="1"/>
        <v>3865.8747134415557</v>
      </c>
      <c r="E4">
        <v>4</v>
      </c>
      <c r="G4">
        <f t="shared" si="2"/>
        <v>4366.329219303474</v>
      </c>
      <c r="H4">
        <f t="shared" si="3"/>
        <v>5419.9233293753332</v>
      </c>
    </row>
    <row r="5" spans="1:8" x14ac:dyDescent="0.3">
      <c r="A5">
        <v>5</v>
      </c>
      <c r="C5">
        <f t="shared" si="0"/>
        <v>5091.5292946309901</v>
      </c>
      <c r="D5">
        <f t="shared" si="1"/>
        <v>4055.4790454469394</v>
      </c>
      <c r="E5">
        <v>5</v>
      </c>
      <c r="G5">
        <f t="shared" si="2"/>
        <v>4559.8706125386516</v>
      </c>
      <c r="H5">
        <f t="shared" si="3"/>
        <v>5608.5358263113349</v>
      </c>
    </row>
    <row r="6" spans="1:8" x14ac:dyDescent="0.3">
      <c r="A6">
        <v>6</v>
      </c>
      <c r="C6">
        <f t="shared" si="0"/>
        <v>5276.8913235262853</v>
      </c>
      <c r="D6">
        <f t="shared" si="1"/>
        <v>4244.9138190440708</v>
      </c>
      <c r="E6">
        <v>6</v>
      </c>
      <c r="G6">
        <f t="shared" si="2"/>
        <v>4753.4120057738301</v>
      </c>
      <c r="H6">
        <f t="shared" si="3"/>
        <v>5797.3265853195808</v>
      </c>
    </row>
    <row r="7" spans="1:8" x14ac:dyDescent="0.3">
      <c r="A7">
        <v>7</v>
      </c>
      <c r="C7">
        <f t="shared" si="0"/>
        <v>5462.2533524215796</v>
      </c>
      <c r="D7">
        <f t="shared" si="1"/>
        <v>4434.1770191040223</v>
      </c>
      <c r="E7">
        <v>7</v>
      </c>
      <c r="G7">
        <f t="shared" si="2"/>
        <v>4946.9533990090076</v>
      </c>
      <c r="H7">
        <f t="shared" si="3"/>
        <v>5986.2980508025976</v>
      </c>
    </row>
    <row r="8" spans="1:8" x14ac:dyDescent="0.3">
      <c r="A8">
        <v>8</v>
      </c>
      <c r="C8">
        <f t="shared" si="0"/>
        <v>5647.6153813168748</v>
      </c>
      <c r="D8">
        <f t="shared" si="1"/>
        <v>4623.2666853420451</v>
      </c>
      <c r="E8">
        <v>8</v>
      </c>
      <c r="G8">
        <f t="shared" si="2"/>
        <v>5140.4947922441861</v>
      </c>
      <c r="H8">
        <f t="shared" si="3"/>
        <v>6175.4526165289126</v>
      </c>
    </row>
    <row r="9" spans="1:8" x14ac:dyDescent="0.3">
      <c r="A9">
        <v>9</v>
      </c>
      <c r="C9">
        <f t="shared" si="0"/>
        <v>5832.9774102121701</v>
      </c>
      <c r="D9">
        <f t="shared" si="1"/>
        <v>4812.1809166786543</v>
      </c>
      <c r="E9">
        <v>9</v>
      </c>
      <c r="G9">
        <f t="shared" si="2"/>
        <v>5334.0361854793637</v>
      </c>
      <c r="H9">
        <f t="shared" si="3"/>
        <v>6364.7926202867793</v>
      </c>
    </row>
    <row r="10" spans="1:8" x14ac:dyDescent="0.3">
      <c r="A10">
        <v>10</v>
      </c>
      <c r="C10">
        <f t="shared" si="0"/>
        <v>6018.3394391074653</v>
      </c>
      <c r="D10">
        <f t="shared" si="1"/>
        <v>5000.9178755839494</v>
      </c>
      <c r="E10">
        <v>10</v>
      </c>
      <c r="G10">
        <f t="shared" si="2"/>
        <v>5527.5775787145421</v>
      </c>
      <c r="H10">
        <f t="shared" si="3"/>
        <v>6554.3203384932967</v>
      </c>
    </row>
    <row r="11" spans="1:8" x14ac:dyDescent="0.3">
      <c r="A11">
        <v>11</v>
      </c>
      <c r="C11">
        <f t="shared" si="0"/>
        <v>6203.7014680027605</v>
      </c>
      <c r="D11">
        <f t="shared" si="1"/>
        <v>5189.4757923850129</v>
      </c>
      <c r="E11">
        <v>11</v>
      </c>
      <c r="G11">
        <f t="shared" si="2"/>
        <v>5721.1189719497197</v>
      </c>
      <c r="H11">
        <f t="shared" si="3"/>
        <v>6744.037980782663</v>
      </c>
    </row>
    <row r="12" spans="1:8" x14ac:dyDescent="0.3">
      <c r="A12">
        <v>12</v>
      </c>
      <c r="C12">
        <f t="shared" si="0"/>
        <v>6389.0634968980548</v>
      </c>
      <c r="D12">
        <f t="shared" si="1"/>
        <v>5377.8529695155294</v>
      </c>
      <c r="E12">
        <v>12</v>
      </c>
      <c r="G12">
        <f t="shared" si="2"/>
        <v>5914.6603651848982</v>
      </c>
      <c r="H12">
        <f t="shared" si="3"/>
        <v>6933.9476845987774</v>
      </c>
    </row>
    <row r="13" spans="1:8" x14ac:dyDescent="0.3">
      <c r="A13">
        <v>13</v>
      </c>
      <c r="C13">
        <f t="shared" si="0"/>
        <v>6574.4255257933501</v>
      </c>
      <c r="D13">
        <f t="shared" si="1"/>
        <v>5566.0477856862308</v>
      </c>
      <c r="E13">
        <v>13</v>
      </c>
      <c r="G13">
        <f t="shared" si="2"/>
        <v>6108.2017584200757</v>
      </c>
      <c r="H13">
        <f t="shared" si="3"/>
        <v>7124.0515098186643</v>
      </c>
    </row>
    <row r="14" spans="1:8" x14ac:dyDescent="0.3">
      <c r="A14">
        <v>14</v>
      </c>
      <c r="C14">
        <f t="shared" si="0"/>
        <v>6759.7875546886453</v>
      </c>
      <c r="D14">
        <f t="shared" si="1"/>
        <v>5754.0586999543475</v>
      </c>
      <c r="E14">
        <v>14</v>
      </c>
      <c r="G14">
        <f t="shared" si="2"/>
        <v>6301.7431516552533</v>
      </c>
      <c r="H14">
        <f t="shared" si="3"/>
        <v>7314.3514334343899</v>
      </c>
    </row>
    <row r="15" spans="1:8" x14ac:dyDescent="0.3">
      <c r="A15">
        <v>15</v>
      </c>
      <c r="C15">
        <f t="shared" si="0"/>
        <v>6945.1495835839396</v>
      </c>
      <c r="D15">
        <f t="shared" si="1"/>
        <v>5941.8842556700765</v>
      </c>
      <c r="E15">
        <v>15</v>
      </c>
      <c r="G15">
        <f t="shared" si="2"/>
        <v>6495.2845448904318</v>
      </c>
      <c r="H15">
        <f t="shared" si="3"/>
        <v>7504.8493443219977</v>
      </c>
    </row>
    <row r="16" spans="1:8" x14ac:dyDescent="0.3">
      <c r="A16">
        <v>16</v>
      </c>
      <c r="C16">
        <f t="shared" si="0"/>
        <v>7130.5116124792348</v>
      </c>
      <c r="D16">
        <f t="shared" si="1"/>
        <v>6129.5230842780429</v>
      </c>
      <c r="E16">
        <v>16</v>
      </c>
      <c r="G16">
        <f t="shared" si="2"/>
        <v>6688.8259381256103</v>
      </c>
      <c r="H16">
        <f t="shared" si="3"/>
        <v>7695.5470381266887</v>
      </c>
    </row>
    <row r="17" spans="1:8" x14ac:dyDescent="0.3">
      <c r="A17">
        <v>17</v>
      </c>
      <c r="C17">
        <f t="shared" si="0"/>
        <v>7315.8736413745301</v>
      </c>
      <c r="D17">
        <f t="shared" si="1"/>
        <v>6316.9739089519044</v>
      </c>
      <c r="E17">
        <v>17</v>
      </c>
      <c r="G17">
        <f t="shared" si="2"/>
        <v>6882.3673313607878</v>
      </c>
      <c r="H17">
        <f t="shared" si="3"/>
        <v>7886.4462122939276</v>
      </c>
    </row>
    <row r="18" spans="1:8" x14ac:dyDescent="0.3">
      <c r="A18">
        <v>18</v>
      </c>
      <c r="C18">
        <f t="shared" si="0"/>
        <v>7501.2356702698253</v>
      </c>
      <c r="D18">
        <f t="shared" si="1"/>
        <v>6504.2355480406841</v>
      </c>
      <c r="E18">
        <v>18</v>
      </c>
      <c r="G18">
        <f t="shared" si="2"/>
        <v>7075.9087245959654</v>
      </c>
      <c r="H18">
        <f t="shared" si="3"/>
        <v>8077.5484612762712</v>
      </c>
    </row>
    <row r="19" spans="1:8" x14ac:dyDescent="0.3">
      <c r="A19">
        <v>19</v>
      </c>
      <c r="C19">
        <f t="shared" si="0"/>
        <v>7686.5976991651205</v>
      </c>
      <c r="D19">
        <f t="shared" si="1"/>
        <v>6691.3069183059888</v>
      </c>
      <c r="E19">
        <v>19</v>
      </c>
      <c r="G19">
        <f t="shared" si="2"/>
        <v>7269.4501178311439</v>
      </c>
      <c r="H19">
        <f t="shared" si="3"/>
        <v>8268.8552719455893</v>
      </c>
    </row>
    <row r="20" spans="1:8" x14ac:dyDescent="0.3">
      <c r="A20">
        <v>20</v>
      </c>
      <c r="C20">
        <f t="shared" si="0"/>
        <v>7871.9597280604148</v>
      </c>
      <c r="D20">
        <f t="shared" si="1"/>
        <v>6878.187037930139</v>
      </c>
      <c r="E20">
        <v>20</v>
      </c>
      <c r="G20">
        <f t="shared" si="2"/>
        <v>7462.9915110663223</v>
      </c>
      <c r="H20">
        <f t="shared" si="3"/>
        <v>8460.3680192399024</v>
      </c>
    </row>
    <row r="21" spans="1:8" x14ac:dyDescent="0.3">
      <c r="A21">
        <v>21</v>
      </c>
      <c r="C21">
        <f t="shared" si="0"/>
        <v>8057.32175695571</v>
      </c>
      <c r="D21">
        <f t="shared" si="1"/>
        <v>7064.8750292762461</v>
      </c>
      <c r="E21">
        <v>21</v>
      </c>
      <c r="G21">
        <f t="shared" si="2"/>
        <v>7656.5329043014999</v>
      </c>
      <c r="H21">
        <f t="shared" si="3"/>
        <v>8652.0879620733012</v>
      </c>
    </row>
    <row r="22" spans="1:8" x14ac:dyDescent="0.3">
      <c r="A22">
        <v>22</v>
      </c>
      <c r="C22">
        <f t="shared" si="0"/>
        <v>8242.6837858510044</v>
      </c>
      <c r="D22">
        <f t="shared" si="1"/>
        <v>7251.3701213825298</v>
      </c>
      <c r="E22">
        <v>22</v>
      </c>
      <c r="G22">
        <f t="shared" si="2"/>
        <v>7850.0742975366775</v>
      </c>
      <c r="H22">
        <f t="shared" si="3"/>
        <v>8844.0162395363004</v>
      </c>
    </row>
    <row r="23" spans="1:8" x14ac:dyDescent="0.3">
      <c r="A23">
        <v>23</v>
      </c>
      <c r="C23">
        <f t="shared" si="0"/>
        <v>8428.0458147462996</v>
      </c>
      <c r="D23">
        <f t="shared" si="1"/>
        <v>7437.6716521746575</v>
      </c>
      <c r="E23">
        <v>23</v>
      </c>
      <c r="G23">
        <f t="shared" si="2"/>
        <v>8043.615690771856</v>
      </c>
      <c r="H23">
        <f t="shared" si="3"/>
        <v>9036.1538674126496</v>
      </c>
    </row>
    <row r="24" spans="1:8" x14ac:dyDescent="0.3">
      <c r="A24">
        <v>24</v>
      </c>
      <c r="C24">
        <f t="shared" si="0"/>
        <v>8613.4078436415948</v>
      </c>
      <c r="D24">
        <f t="shared" si="1"/>
        <v>7623.7790703814526</v>
      </c>
      <c r="E24">
        <v>24</v>
      </c>
      <c r="G24">
        <f t="shared" si="2"/>
        <v>8237.1570840070344</v>
      </c>
      <c r="H24">
        <f t="shared" si="3"/>
        <v>9228.501735036818</v>
      </c>
    </row>
    <row r="25" spans="1:8" x14ac:dyDescent="0.3">
      <c r="A25">
        <v>25</v>
      </c>
      <c r="C25">
        <f t="shared" si="0"/>
        <v>8798.76987253689</v>
      </c>
      <c r="D25">
        <f t="shared" si="1"/>
        <v>7809.6919371412041</v>
      </c>
      <c r="E25">
        <v>25</v>
      </c>
      <c r="G25">
        <f t="shared" si="2"/>
        <v>8430.6984772422111</v>
      </c>
      <c r="H25">
        <f t="shared" si="3"/>
        <v>9421.0606025144643</v>
      </c>
    </row>
    <row r="26" spans="1:8" x14ac:dyDescent="0.3">
      <c r="A26">
        <v>26</v>
      </c>
      <c r="C26">
        <f t="shared" si="0"/>
        <v>8984.1319014321853</v>
      </c>
      <c r="D26">
        <f t="shared" si="1"/>
        <v>7995.4099272877138</v>
      </c>
      <c r="E26">
        <v>26</v>
      </c>
      <c r="G26">
        <f t="shared" si="2"/>
        <v>8624.2398704773896</v>
      </c>
      <c r="H26">
        <f t="shared" si="3"/>
        <v>9613.8310983258707</v>
      </c>
    </row>
    <row r="27" spans="1:8" x14ac:dyDescent="0.3">
      <c r="A27">
        <v>27</v>
      </c>
      <c r="C27">
        <f t="shared" si="0"/>
        <v>9169.4939303274805</v>
      </c>
      <c r="D27">
        <f t="shared" si="1"/>
        <v>8180.932830307348</v>
      </c>
      <c r="E27">
        <v>27</v>
      </c>
      <c r="G27">
        <f t="shared" si="2"/>
        <v>8817.781263712568</v>
      </c>
      <c r="H27">
        <f t="shared" si="3"/>
        <v>9806.8137173297582</v>
      </c>
    </row>
    <row r="28" spans="1:8" x14ac:dyDescent="0.3">
      <c r="A28">
        <v>28</v>
      </c>
      <c r="C28">
        <f t="shared" si="0"/>
        <v>9354.8559592227757</v>
      </c>
      <c r="D28">
        <f t="shared" si="1"/>
        <v>8366.26055096052</v>
      </c>
      <c r="E28">
        <v>28</v>
      </c>
      <c r="G28">
        <f t="shared" si="2"/>
        <v>9011.3226569477465</v>
      </c>
      <c r="H28">
        <f t="shared" si="3"/>
        <v>10000.0088191822</v>
      </c>
    </row>
    <row r="29" spans="1:8" x14ac:dyDescent="0.3">
      <c r="A29">
        <v>29</v>
      </c>
      <c r="C29">
        <f t="shared" si="0"/>
        <v>9540.2179881180709</v>
      </c>
      <c r="D29">
        <f t="shared" si="1"/>
        <v>8551.3931095633579</v>
      </c>
      <c r="E29">
        <v>29</v>
      </c>
      <c r="G29">
        <f t="shared" si="2"/>
        <v>9204.8640501829232</v>
      </c>
      <c r="H29">
        <f t="shared" si="3"/>
        <v>10193.41662718236</v>
      </c>
    </row>
    <row r="30" spans="1:8" x14ac:dyDescent="0.3">
      <c r="A30">
        <v>30</v>
      </c>
      <c r="C30">
        <f t="shared" si="0"/>
        <v>9725.5800170133662</v>
      </c>
      <c r="D30">
        <f t="shared" si="1"/>
        <v>8736.3306419275905</v>
      </c>
      <c r="E30">
        <v>30</v>
      </c>
      <c r="G30">
        <f t="shared" si="2"/>
        <v>9398.4054434181016</v>
      </c>
      <c r="H30">
        <f t="shared" si="3"/>
        <v>10387.037227553652</v>
      </c>
    </row>
    <row r="31" spans="1:8" x14ac:dyDescent="0.3">
      <c r="A31">
        <v>31</v>
      </c>
      <c r="C31">
        <f t="shared" si="0"/>
        <v>9910.9420459086596</v>
      </c>
      <c r="D31">
        <f t="shared" si="1"/>
        <v>8921.0733989590863</v>
      </c>
      <c r="E31">
        <v>31</v>
      </c>
      <c r="G31">
        <f t="shared" si="2"/>
        <v>9591.9468366532801</v>
      </c>
      <c r="H31">
        <f t="shared" si="3"/>
        <v>10580.870569165721</v>
      </c>
    </row>
    <row r="32" spans="1:8" x14ac:dyDescent="0.3">
      <c r="A32">
        <v>32</v>
      </c>
      <c r="C32">
        <f t="shared" si="0"/>
        <v>10096.304074803955</v>
      </c>
      <c r="D32">
        <f t="shared" si="1"/>
        <v>9105.6217459178042</v>
      </c>
      <c r="E32">
        <v>32</v>
      </c>
      <c r="G32">
        <f t="shared" si="2"/>
        <v>9785.4882298884586</v>
      </c>
      <c r="H32">
        <f t="shared" si="3"/>
        <v>10774.916463699337</v>
      </c>
    </row>
    <row r="33" spans="1:8" x14ac:dyDescent="0.3">
      <c r="A33">
        <v>33</v>
      </c>
      <c r="C33">
        <f t="shared" ref="C33:C64" si="4">4350.08117904981+(A33-1)*185.362028895295</f>
        <v>10281.66610369925</v>
      </c>
      <c r="D33">
        <f t="shared" ref="D33:D64" si="5">0+1*C33-975.456872983591*(1.02702702702703+(C33-9229.5945945946)^2/169427206.030365)^0.5</f>
        <v>9289.9761613442188</v>
      </c>
      <c r="E33">
        <v>33</v>
      </c>
      <c r="G33">
        <f t="shared" ref="G33:G64" si="6">3785.70503959794+(E33-1)*193.541393235178</f>
        <v>9979.0296231236352</v>
      </c>
      <c r="H33">
        <f t="shared" ref="H33:H64" si="7">0+1*G33+975.456872983591*(1.02702702702703+(G33-9229.5945945946)^2/169427206.030365)^0.5</f>
        <v>10969.174586252961</v>
      </c>
    </row>
    <row r="34" spans="1:8" x14ac:dyDescent="0.3">
      <c r="A34">
        <v>34</v>
      </c>
      <c r="C34">
        <f t="shared" si="4"/>
        <v>10467.028132594545</v>
      </c>
      <c r="D34">
        <f t="shared" si="5"/>
        <v>9474.1372356595966</v>
      </c>
      <c r="E34">
        <v>34</v>
      </c>
      <c r="G34">
        <f t="shared" si="6"/>
        <v>10172.571016358814</v>
      </c>
      <c r="H34">
        <f t="shared" si="7"/>
        <v>11163.644476386431</v>
      </c>
    </row>
    <row r="35" spans="1:8" x14ac:dyDescent="0.3">
      <c r="A35">
        <v>35</v>
      </c>
      <c r="C35">
        <f t="shared" si="4"/>
        <v>10652.39016148984</v>
      </c>
      <c r="D35">
        <f t="shared" si="5"/>
        <v>9658.105669449571</v>
      </c>
      <c r="E35">
        <v>35</v>
      </c>
      <c r="G35">
        <f t="shared" si="6"/>
        <v>10366.112409593992</v>
      </c>
      <c r="H35">
        <f t="shared" si="7"/>
        <v>11358.32553959396</v>
      </c>
    </row>
    <row r="36" spans="1:8" x14ac:dyDescent="0.3">
      <c r="A36">
        <v>36</v>
      </c>
      <c r="C36">
        <f t="shared" si="4"/>
        <v>10837.752190385134</v>
      </c>
      <c r="D36">
        <f t="shared" si="5"/>
        <v>9841.8822714426078</v>
      </c>
      <c r="E36">
        <v>36</v>
      </c>
      <c r="G36">
        <f t="shared" si="6"/>
        <v>10559.653802829169</v>
      </c>
      <c r="H36">
        <f t="shared" si="7"/>
        <v>11553.217049195515</v>
      </c>
    </row>
    <row r="37" spans="1:8" x14ac:dyDescent="0.3">
      <c r="A37">
        <v>37</v>
      </c>
      <c r="C37">
        <f t="shared" si="4"/>
        <v>11023.114219280429</v>
      </c>
      <c r="D37">
        <f t="shared" si="5"/>
        <v>10025.467956196795</v>
      </c>
      <c r="E37">
        <v>37</v>
      </c>
      <c r="G37">
        <f t="shared" si="6"/>
        <v>10753.195196064347</v>
      </c>
      <c r="H37">
        <f t="shared" si="7"/>
        <v>11748.318148632628</v>
      </c>
    </row>
    <row r="38" spans="1:8" x14ac:dyDescent="0.3">
      <c r="A38">
        <v>38</v>
      </c>
      <c r="C38">
        <f t="shared" si="4"/>
        <v>11208.476248175724</v>
      </c>
      <c r="D38">
        <f t="shared" si="5"/>
        <v>10208.863741510162</v>
      </c>
      <c r="E38">
        <v>38</v>
      </c>
      <c r="G38">
        <f t="shared" si="6"/>
        <v>10946.736589299526</v>
      </c>
      <c r="H38">
        <f t="shared" si="7"/>
        <v>11943.627854151855</v>
      </c>
    </row>
    <row r="39" spans="1:8" x14ac:dyDescent="0.3">
      <c r="A39">
        <v>39</v>
      </c>
      <c r="C39">
        <f t="shared" si="4"/>
        <v>11393.83827707102</v>
      </c>
      <c r="D39">
        <f t="shared" si="5"/>
        <v>10392.070745571316</v>
      </c>
      <c r="E39">
        <v>39</v>
      </c>
      <c r="G39">
        <f t="shared" si="6"/>
        <v>11140.277982534704</v>
      </c>
      <c r="H39">
        <f t="shared" si="7"/>
        <v>12139.145057856551</v>
      </c>
    </row>
    <row r="40" spans="1:8" x14ac:dyDescent="0.3">
      <c r="A40">
        <v>40</v>
      </c>
      <c r="C40">
        <f t="shared" si="4"/>
        <v>11579.200305966315</v>
      </c>
      <c r="D40">
        <f t="shared" si="5"/>
        <v>10575.090183868577</v>
      </c>
      <c r="E40">
        <v>40</v>
      </c>
      <c r="G40">
        <f t="shared" si="6"/>
        <v>11333.819375769881</v>
      </c>
      <c r="H40">
        <f t="shared" si="7"/>
        <v>12334.868531105245</v>
      </c>
    </row>
    <row r="41" spans="1:8" x14ac:dyDescent="0.3">
      <c r="A41">
        <v>41</v>
      </c>
      <c r="C41">
        <f t="shared" si="4"/>
        <v>11764.56233486161</v>
      </c>
      <c r="D41">
        <f t="shared" si="5"/>
        <v>10757.923365876908</v>
      </c>
      <c r="E41">
        <v>41</v>
      </c>
      <c r="G41">
        <f t="shared" si="6"/>
        <v>11527.360769005059</v>
      </c>
      <c r="H41">
        <f t="shared" si="7"/>
        <v>12530.796928232816</v>
      </c>
    </row>
    <row r="42" spans="1:8" x14ac:dyDescent="0.3">
      <c r="A42">
        <v>42</v>
      </c>
      <c r="C42">
        <f t="shared" si="4"/>
        <v>11949.924363756905</v>
      </c>
      <c r="D42">
        <f t="shared" si="5"/>
        <v>10940.571691542993</v>
      </c>
      <c r="E42">
        <v>42</v>
      </c>
      <c r="G42">
        <f t="shared" si="6"/>
        <v>11720.902162240238</v>
      </c>
      <c r="H42">
        <f t="shared" si="7"/>
        <v>12726.9287905689</v>
      </c>
    </row>
    <row r="43" spans="1:8" x14ac:dyDescent="0.3">
      <c r="A43">
        <v>43</v>
      </c>
      <c r="C43">
        <f t="shared" si="4"/>
        <v>12135.2863926522</v>
      </c>
      <c r="D43">
        <f t="shared" si="5"/>
        <v>11123.036647589515</v>
      </c>
      <c r="E43">
        <v>43</v>
      </c>
      <c r="G43">
        <f t="shared" si="6"/>
        <v>11914.443555475416</v>
      </c>
      <c r="H43">
        <f t="shared" si="7"/>
        <v>12923.262550726498</v>
      </c>
    </row>
    <row r="44" spans="1:8" x14ac:dyDescent="0.3">
      <c r="A44">
        <v>44</v>
      </c>
      <c r="C44">
        <f t="shared" si="4"/>
        <v>12320.648421547496</v>
      </c>
      <c r="D44">
        <f t="shared" si="5"/>
        <v>11305.319803660212</v>
      </c>
      <c r="E44">
        <v>44</v>
      </c>
      <c r="G44">
        <f t="shared" si="6"/>
        <v>12107.984948710595</v>
      </c>
      <c r="H44">
        <f t="shared" si="7"/>
        <v>13119.796537132544</v>
      </c>
    </row>
    <row r="45" spans="1:8" x14ac:dyDescent="0.3">
      <c r="A45">
        <v>45</v>
      </c>
      <c r="C45">
        <f t="shared" si="4"/>
        <v>12506.010450442791</v>
      </c>
      <c r="D45">
        <f t="shared" si="5"/>
        <v>11487.422808327659</v>
      </c>
      <c r="E45">
        <v>45</v>
      </c>
      <c r="G45">
        <f t="shared" si="6"/>
        <v>12301.526341945771</v>
      </c>
      <c r="H45">
        <f t="shared" si="7"/>
        <v>13316.528978771399</v>
      </c>
    </row>
    <row r="46" spans="1:8" x14ac:dyDescent="0.3">
      <c r="A46">
        <v>46</v>
      </c>
      <c r="C46">
        <f t="shared" si="4"/>
        <v>12691.372479338084</v>
      </c>
      <c r="D46">
        <f t="shared" si="5"/>
        <v>11669.347384985822</v>
      </c>
      <c r="E46">
        <v>46</v>
      </c>
      <c r="G46">
        <f t="shared" si="6"/>
        <v>12495.06773518095</v>
      </c>
      <c r="H46">
        <f t="shared" si="7"/>
        <v>13513.458010111679</v>
      </c>
    </row>
    <row r="47" spans="1:8" x14ac:dyDescent="0.3">
      <c r="A47">
        <v>47</v>
      </c>
      <c r="C47">
        <f t="shared" si="4"/>
        <v>12876.73450823338</v>
      </c>
      <c r="D47">
        <f t="shared" si="5"/>
        <v>11851.095327649307</v>
      </c>
      <c r="E47">
        <v>47</v>
      </c>
      <c r="G47">
        <f t="shared" si="6"/>
        <v>12688.609128416128</v>
      </c>
      <c r="H47">
        <f t="shared" si="7"/>
        <v>13710.581676186604</v>
      </c>
    </row>
    <row r="48" spans="1:8" x14ac:dyDescent="0.3">
      <c r="A48">
        <v>48</v>
      </c>
      <c r="C48">
        <f t="shared" si="4"/>
        <v>13062.096537128675</v>
      </c>
      <c r="D48">
        <f t="shared" si="5"/>
        <v>12032.668496681015</v>
      </c>
      <c r="E48">
        <v>48</v>
      </c>
      <c r="G48">
        <f t="shared" si="6"/>
        <v>12882.150521651307</v>
      </c>
      <c r="H48">
        <f t="shared" si="7"/>
        <v>13907.897937798161</v>
      </c>
    </row>
    <row r="49" spans="1:8" x14ac:dyDescent="0.3">
      <c r="A49">
        <v>49</v>
      </c>
      <c r="C49">
        <f t="shared" si="4"/>
        <v>13247.45856602397</v>
      </c>
      <c r="D49">
        <f t="shared" si="5"/>
        <v>12214.06881446942</v>
      </c>
      <c r="E49">
        <v>49</v>
      </c>
      <c r="G49">
        <f t="shared" si="6"/>
        <v>13075.691914886484</v>
      </c>
      <c r="H49">
        <f t="shared" si="7"/>
        <v>14105.404676815702</v>
      </c>
    </row>
    <row r="50" spans="1:8" x14ac:dyDescent="0.3">
      <c r="A50">
        <v>50</v>
      </c>
      <c r="C50">
        <f t="shared" si="4"/>
        <v>13432.820594919265</v>
      </c>
      <c r="D50">
        <f t="shared" si="5"/>
        <v>12395.298261076099</v>
      </c>
      <c r="E50">
        <v>50</v>
      </c>
      <c r="G50">
        <f t="shared" si="6"/>
        <v>13269.233308121662</v>
      </c>
      <c r="H50">
        <f t="shared" si="7"/>
        <v>14303.099701540237</v>
      </c>
    </row>
    <row r="51" spans="1:8" x14ac:dyDescent="0.3">
      <c r="A51">
        <v>51</v>
      </c>
      <c r="C51">
        <f t="shared" si="4"/>
        <v>13618.18262381456</v>
      </c>
      <c r="D51">
        <f t="shared" si="5"/>
        <v>12576.35886987338</v>
      </c>
      <c r="E51">
        <v>51</v>
      </c>
      <c r="G51">
        <f t="shared" si="6"/>
        <v>13462.774701356841</v>
      </c>
      <c r="H51">
        <f t="shared" si="7"/>
        <v>14500.98075210652</v>
      </c>
    </row>
    <row r="52" spans="1:8" x14ac:dyDescent="0.3">
      <c r="A52">
        <v>52</v>
      </c>
      <c r="C52">
        <f t="shared" si="4"/>
        <v>13803.544652709856</v>
      </c>
      <c r="D52">
        <f t="shared" si="5"/>
        <v>12757.25272319107</v>
      </c>
      <c r="E52">
        <v>52</v>
      </c>
      <c r="G52">
        <f t="shared" si="6"/>
        <v>13656.316094592017</v>
      </c>
      <c r="H52">
        <f t="shared" si="7"/>
        <v>14699.045505896138</v>
      </c>
    </row>
    <row r="53" spans="1:8" x14ac:dyDescent="0.3">
      <c r="A53">
        <v>53</v>
      </c>
      <c r="C53">
        <f t="shared" si="4"/>
        <v>13988.906681605151</v>
      </c>
      <c r="D53">
        <f t="shared" si="5"/>
        <v>12937.981947990265</v>
      </c>
      <c r="E53">
        <v>53</v>
      </c>
      <c r="G53">
        <f t="shared" si="6"/>
        <v>13849.857487827196</v>
      </c>
      <c r="H53">
        <f t="shared" si="7"/>
        <v>14897.291582936055</v>
      </c>
    </row>
    <row r="54" spans="1:8" x14ac:dyDescent="0.3">
      <c r="A54">
        <v>54</v>
      </c>
      <c r="C54">
        <f t="shared" si="4"/>
        <v>14174.268710500444</v>
      </c>
      <c r="D54">
        <f t="shared" si="5"/>
        <v>13118.548711581117</v>
      </c>
      <c r="E54">
        <v>54</v>
      </c>
      <c r="G54">
        <f t="shared" si="6"/>
        <v>14043.398881062374</v>
      </c>
      <c r="H54">
        <f t="shared" si="7"/>
        <v>15095.716551258438</v>
      </c>
    </row>
    <row r="55" spans="1:8" x14ac:dyDescent="0.3">
      <c r="A55">
        <v>55</v>
      </c>
      <c r="C55">
        <f t="shared" si="4"/>
        <v>14359.63073939574</v>
      </c>
      <c r="D55">
        <f t="shared" si="5"/>
        <v>13298.955217400322</v>
      </c>
      <c r="E55">
        <v>55</v>
      </c>
      <c r="G55">
        <f t="shared" si="6"/>
        <v>14236.940274297553</v>
      </c>
      <c r="H55">
        <f t="shared" si="7"/>
        <v>15294.317932199263</v>
      </c>
    </row>
    <row r="56" spans="1:8" x14ac:dyDescent="0.3">
      <c r="A56">
        <v>56</v>
      </c>
      <c r="C56">
        <f t="shared" si="4"/>
        <v>14544.992768291035</v>
      </c>
      <c r="D56">
        <f t="shared" si="5"/>
        <v>13479.20370086277</v>
      </c>
      <c r="E56">
        <v>56</v>
      </c>
      <c r="G56">
        <f t="shared" si="6"/>
        <v>14430.481667532729</v>
      </c>
      <c r="H56">
        <f t="shared" si="7"/>
        <v>15493.093205614743</v>
      </c>
    </row>
    <row r="57" spans="1:8" x14ac:dyDescent="0.3">
      <c r="A57">
        <v>57</v>
      </c>
      <c r="C57">
        <f t="shared" si="4"/>
        <v>14730.35479718633</v>
      </c>
      <c r="D57">
        <f t="shared" si="5"/>
        <v>13659.296425300701</v>
      </c>
      <c r="E57">
        <v>57</v>
      </c>
      <c r="G57">
        <f t="shared" si="6"/>
        <v>14624.023060767908</v>
      </c>
      <c r="H57">
        <f t="shared" si="7"/>
        <v>15692.039814996428</v>
      </c>
    </row>
    <row r="58" spans="1:8" x14ac:dyDescent="0.3">
      <c r="A58">
        <v>58</v>
      </c>
      <c r="C58">
        <f t="shared" si="4"/>
        <v>14915.716826081625</v>
      </c>
      <c r="D58">
        <f t="shared" si="5"/>
        <v>13839.235678002242</v>
      </c>
      <c r="E58">
        <v>58</v>
      </c>
      <c r="G58">
        <f t="shared" si="6"/>
        <v>14817.564454003086</v>
      </c>
      <c r="H58">
        <f t="shared" si="7"/>
        <v>15891.155172467577</v>
      </c>
    </row>
    <row r="59" spans="1:8" x14ac:dyDescent="0.3">
      <c r="A59">
        <v>59</v>
      </c>
      <c r="C59">
        <f t="shared" si="4"/>
        <v>15101.07885497692</v>
      </c>
      <c r="D59">
        <f t="shared" si="5"/>
        <v>14019.023766360058</v>
      </c>
      <c r="E59">
        <v>59</v>
      </c>
      <c r="G59">
        <f t="shared" si="6"/>
        <v>15011.105847238265</v>
      </c>
      <c r="H59">
        <f t="shared" si="7"/>
        <v>16090.436663645292</v>
      </c>
    </row>
    <row r="60" spans="1:8" x14ac:dyDescent="0.3">
      <c r="A60">
        <v>60</v>
      </c>
      <c r="C60">
        <f t="shared" si="4"/>
        <v>15286.440883872216</v>
      </c>
      <c r="D60">
        <f t="shared" si="5"/>
        <v>14198.663014139469</v>
      </c>
      <c r="E60">
        <v>60</v>
      </c>
      <c r="G60">
        <f t="shared" si="6"/>
        <v>15204.647240473441</v>
      </c>
      <c r="H60">
        <f t="shared" si="7"/>
        <v>16289.881652354627</v>
      </c>
    </row>
    <row r="61" spans="1:8" x14ac:dyDescent="0.3">
      <c r="A61">
        <v>61</v>
      </c>
      <c r="C61">
        <f t="shared" si="4"/>
        <v>15471.802912767509</v>
      </c>
      <c r="D61">
        <f t="shared" si="5"/>
        <v>14378.155757874167</v>
      </c>
      <c r="E61">
        <v>61</v>
      </c>
      <c r="G61">
        <f t="shared" si="6"/>
        <v>15398.18863370862</v>
      </c>
      <c r="H61">
        <f t="shared" si="7"/>
        <v>16489.487485182781</v>
      </c>
    </row>
    <row r="62" spans="1:8" x14ac:dyDescent="0.3">
      <c r="A62">
        <v>62</v>
      </c>
      <c r="C62">
        <f t="shared" si="4"/>
        <v>15657.164941662804</v>
      </c>
      <c r="D62">
        <f t="shared" si="5"/>
        <v>14557.504343396402</v>
      </c>
      <c r="E62">
        <v>62</v>
      </c>
      <c r="G62">
        <f t="shared" si="6"/>
        <v>15591.730026943798</v>
      </c>
      <c r="H62">
        <f t="shared" si="7"/>
        <v>16689.251495863213</v>
      </c>
    </row>
    <row r="63" spans="1:8" x14ac:dyDescent="0.3">
      <c r="A63">
        <v>63</v>
      </c>
      <c r="C63">
        <f t="shared" si="4"/>
        <v>15842.526970558099</v>
      </c>
      <c r="D63">
        <f t="shared" si="5"/>
        <v>14736.711122507317</v>
      </c>
      <c r="E63">
        <v>63</v>
      </c>
      <c r="G63">
        <f t="shared" si="6"/>
        <v>15785.271420178977</v>
      </c>
      <c r="H63">
        <f t="shared" si="7"/>
        <v>16889.171009481244</v>
      </c>
    </row>
    <row r="64" spans="1:8" x14ac:dyDescent="0.3">
      <c r="A64">
        <v>64</v>
      </c>
      <c r="C64">
        <f t="shared" si="4"/>
        <v>16027.888999453395</v>
      </c>
      <c r="D64">
        <f t="shared" si="5"/>
        <v>14915.778449791967</v>
      </c>
      <c r="E64">
        <v>64</v>
      </c>
      <c r="G64">
        <f t="shared" si="6"/>
        <v>15978.812813414153</v>
      </c>
      <c r="H64">
        <f t="shared" si="7"/>
        <v>17089.243346494397</v>
      </c>
    </row>
    <row r="65" spans="1:8" x14ac:dyDescent="0.3">
      <c r="A65">
        <v>65</v>
      </c>
      <c r="C65">
        <f t="shared" ref="C65:C70" si="8">4350.08117904981+(A65-1)*185.362028895295</f>
        <v>16213.25102834869</v>
      </c>
      <c r="D65">
        <f t="shared" ref="D65:D70" si="9">0+1*C65-975.456872983591*(1.02702702702703+(C65-9229.5945945946)^2/169427206.030365)^0.5</f>
        <v>15094.708679582429</v>
      </c>
      <c r="E65">
        <v>65</v>
      </c>
      <c r="G65">
        <f t="shared" ref="G65:G70" si="10">3785.70503959794+(E65-1)*193.541393235178</f>
        <v>16172.354206649332</v>
      </c>
      <c r="H65">
        <f t="shared" ref="H65:H70" si="11">0+1*G65+975.456872983591*(1.02702702702703+(G65-9229.5945945946)^2/169427206.030365)^0.5</f>
        <v>17289.465826562275</v>
      </c>
    </row>
    <row r="66" spans="1:8" x14ac:dyDescent="0.3">
      <c r="A66">
        <v>66</v>
      </c>
      <c r="C66">
        <f t="shared" si="8"/>
        <v>16398.613057243987</v>
      </c>
      <c r="D66">
        <f t="shared" si="9"/>
        <v>15273.50416307144</v>
      </c>
      <c r="E66">
        <v>66</v>
      </c>
      <c r="G66">
        <f t="shared" si="10"/>
        <v>16365.89559988451</v>
      </c>
      <c r="H66">
        <f t="shared" si="11"/>
        <v>17489.835772182239</v>
      </c>
    </row>
    <row r="67" spans="1:8" x14ac:dyDescent="0.3">
      <c r="A67">
        <v>67</v>
      </c>
      <c r="C67">
        <f t="shared" si="8"/>
        <v>16583.975086139282</v>
      </c>
      <c r="D67">
        <f t="shared" si="9"/>
        <v>15452.167245577941</v>
      </c>
      <c r="E67">
        <v>67</v>
      </c>
      <c r="G67">
        <f t="shared" si="10"/>
        <v>16559.436993119685</v>
      </c>
      <c r="H67">
        <f t="shared" si="11"/>
        <v>17690.350512128654</v>
      </c>
    </row>
    <row r="68" spans="1:8" x14ac:dyDescent="0.3">
      <c r="A68">
        <v>68</v>
      </c>
      <c r="C68">
        <f t="shared" si="8"/>
        <v>16769.337115034577</v>
      </c>
      <c r="D68">
        <f t="shared" si="9"/>
        <v>15630.700263965102</v>
      </c>
      <c r="E68">
        <v>68</v>
      </c>
      <c r="G68">
        <f t="shared" si="10"/>
        <v>16752.978386354866</v>
      </c>
      <c r="H68">
        <f t="shared" si="11"/>
        <v>17891.007384694687</v>
      </c>
    </row>
    <row r="69" spans="1:8" x14ac:dyDescent="0.3">
      <c r="A69">
        <v>69</v>
      </c>
      <c r="C69">
        <f t="shared" si="8"/>
        <v>16954.699143929873</v>
      </c>
      <c r="D69">
        <f t="shared" si="9"/>
        <v>15809.105544210488</v>
      </c>
      <c r="E69">
        <v>69</v>
      </c>
      <c r="G69">
        <f t="shared" si="10"/>
        <v>16946.519779590042</v>
      </c>
      <c r="H69">
        <f t="shared" si="11"/>
        <v>18091.803740736756</v>
      </c>
    </row>
    <row r="70" spans="1:8" x14ac:dyDescent="0.3">
      <c r="A70">
        <v>70</v>
      </c>
      <c r="C70">
        <f t="shared" si="8"/>
        <v>17140.061172825164</v>
      </c>
      <c r="D70">
        <f t="shared" si="9"/>
        <v>15987.385399127306</v>
      </c>
      <c r="E70">
        <v>70</v>
      </c>
      <c r="G70">
        <f t="shared" si="10"/>
        <v>17140.061172825222</v>
      </c>
      <c r="H70">
        <f t="shared" si="11"/>
        <v>18292.73694652308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F955-03CE-4276-B05D-9040BE20864A}">
  <sheetPr codeName="XLSTAT_20211005_102144_1_HID">
    <tabColor rgb="FF007800"/>
  </sheetPr>
  <dimension ref="A1:H70"/>
  <sheetViews>
    <sheetView workbookViewId="0"/>
  </sheetViews>
  <sheetFormatPr baseColWidth="10" defaultColWidth="8.88671875" defaultRowHeight="14.4" x14ac:dyDescent="0.3"/>
  <sheetData>
    <row r="1" spans="1:8" x14ac:dyDescent="0.3">
      <c r="A1">
        <v>1</v>
      </c>
      <c r="C1">
        <f t="shared" ref="C1:C32" si="0">4350.08117904981+(A1-1)*185.362028895295</f>
        <v>4350.0811790498101</v>
      </c>
      <c r="D1">
        <f t="shared" ref="D1:D32" si="1">0+1*C1-975.456872983591*(1.02702702702703+(C1-9229.5945945946)^2/169427206.030365)^0.5</f>
        <v>3296.0652495612758</v>
      </c>
      <c r="E1">
        <v>1</v>
      </c>
      <c r="G1">
        <f t="shared" ref="G1:G32" si="2">3785.70503959794+(E1-1)*193.541393235178</f>
        <v>3785.70503959794</v>
      </c>
      <c r="H1">
        <f t="shared" ref="H1:H32" si="3">0+1*G1+975.456872983591*(1.02702702702703+(G1-9229.5945945946)^2/169427206.030365)^0.5</f>
        <v>4855.1303177060527</v>
      </c>
    </row>
    <row r="2" spans="1:8" x14ac:dyDescent="0.3">
      <c r="A2">
        <v>2</v>
      </c>
      <c r="C2">
        <f t="shared" si="0"/>
        <v>4535.4432079451053</v>
      </c>
      <c r="D2">
        <f t="shared" si="1"/>
        <v>3486.1656828120849</v>
      </c>
      <c r="E2">
        <v>2</v>
      </c>
      <c r="G2">
        <f t="shared" si="2"/>
        <v>3979.246432833118</v>
      </c>
      <c r="H2">
        <f t="shared" si="3"/>
        <v>5043.2231225298265</v>
      </c>
    </row>
    <row r="3" spans="1:8" x14ac:dyDescent="0.3">
      <c r="A3">
        <v>3</v>
      </c>
      <c r="C3">
        <f t="shared" si="0"/>
        <v>4720.8052368404005</v>
      </c>
      <c r="D3">
        <f t="shared" si="1"/>
        <v>3676.1028886424547</v>
      </c>
      <c r="E3">
        <v>3</v>
      </c>
      <c r="G3">
        <f t="shared" si="2"/>
        <v>4172.7878260682955</v>
      </c>
      <c r="H3">
        <f t="shared" si="3"/>
        <v>5231.4866047545656</v>
      </c>
    </row>
    <row r="4" spans="1:8" x14ac:dyDescent="0.3">
      <c r="A4">
        <v>4</v>
      </c>
      <c r="C4">
        <f t="shared" si="0"/>
        <v>4906.1672657356949</v>
      </c>
      <c r="D4">
        <f t="shared" si="1"/>
        <v>3865.8747134415557</v>
      </c>
      <c r="E4">
        <v>4</v>
      </c>
      <c r="G4">
        <f t="shared" si="2"/>
        <v>4366.329219303474</v>
      </c>
      <c r="H4">
        <f t="shared" si="3"/>
        <v>5419.9233293753332</v>
      </c>
    </row>
    <row r="5" spans="1:8" x14ac:dyDescent="0.3">
      <c r="A5">
        <v>5</v>
      </c>
      <c r="C5">
        <f t="shared" si="0"/>
        <v>5091.5292946309901</v>
      </c>
      <c r="D5">
        <f t="shared" si="1"/>
        <v>4055.4790454469394</v>
      </c>
      <c r="E5">
        <v>5</v>
      </c>
      <c r="G5">
        <f t="shared" si="2"/>
        <v>4559.8706125386516</v>
      </c>
      <c r="H5">
        <f t="shared" si="3"/>
        <v>5608.5358263113349</v>
      </c>
    </row>
    <row r="6" spans="1:8" x14ac:dyDescent="0.3">
      <c r="A6">
        <v>6</v>
      </c>
      <c r="C6">
        <f t="shared" si="0"/>
        <v>5276.8913235262853</v>
      </c>
      <c r="D6">
        <f t="shared" si="1"/>
        <v>4244.9138190440708</v>
      </c>
      <c r="E6">
        <v>6</v>
      </c>
      <c r="G6">
        <f t="shared" si="2"/>
        <v>4753.4120057738301</v>
      </c>
      <c r="H6">
        <f t="shared" si="3"/>
        <v>5797.3265853195808</v>
      </c>
    </row>
    <row r="7" spans="1:8" x14ac:dyDescent="0.3">
      <c r="A7">
        <v>7</v>
      </c>
      <c r="C7">
        <f t="shared" si="0"/>
        <v>5462.2533524215796</v>
      </c>
      <c r="D7">
        <f t="shared" si="1"/>
        <v>4434.1770191040223</v>
      </c>
      <c r="E7">
        <v>7</v>
      </c>
      <c r="G7">
        <f t="shared" si="2"/>
        <v>4946.9533990090076</v>
      </c>
      <c r="H7">
        <f t="shared" si="3"/>
        <v>5986.2980508025976</v>
      </c>
    </row>
    <row r="8" spans="1:8" x14ac:dyDescent="0.3">
      <c r="A8">
        <v>8</v>
      </c>
      <c r="C8">
        <f t="shared" si="0"/>
        <v>5647.6153813168748</v>
      </c>
      <c r="D8">
        <f t="shared" si="1"/>
        <v>4623.2666853420451</v>
      </c>
      <c r="E8">
        <v>8</v>
      </c>
      <c r="G8">
        <f t="shared" si="2"/>
        <v>5140.4947922441861</v>
      </c>
      <c r="H8">
        <f t="shared" si="3"/>
        <v>6175.4526165289126</v>
      </c>
    </row>
    <row r="9" spans="1:8" x14ac:dyDescent="0.3">
      <c r="A9">
        <v>9</v>
      </c>
      <c r="C9">
        <f t="shared" si="0"/>
        <v>5832.9774102121701</v>
      </c>
      <c r="D9">
        <f t="shared" si="1"/>
        <v>4812.1809166786543</v>
      </c>
      <c r="E9">
        <v>9</v>
      </c>
      <c r="G9">
        <f t="shared" si="2"/>
        <v>5334.0361854793637</v>
      </c>
      <c r="H9">
        <f t="shared" si="3"/>
        <v>6364.7926202867793</v>
      </c>
    </row>
    <row r="10" spans="1:8" x14ac:dyDescent="0.3">
      <c r="A10">
        <v>10</v>
      </c>
      <c r="C10">
        <f t="shared" si="0"/>
        <v>6018.3394391074653</v>
      </c>
      <c r="D10">
        <f t="shared" si="1"/>
        <v>5000.9178755839494</v>
      </c>
      <c r="E10">
        <v>10</v>
      </c>
      <c r="G10">
        <f t="shared" si="2"/>
        <v>5527.5775787145421</v>
      </c>
      <c r="H10">
        <f t="shared" si="3"/>
        <v>6554.3203384932967</v>
      </c>
    </row>
    <row r="11" spans="1:8" x14ac:dyDescent="0.3">
      <c r="A11">
        <v>11</v>
      </c>
      <c r="C11">
        <f t="shared" si="0"/>
        <v>6203.7014680027605</v>
      </c>
      <c r="D11">
        <f t="shared" si="1"/>
        <v>5189.4757923850129</v>
      </c>
      <c r="E11">
        <v>11</v>
      </c>
      <c r="G11">
        <f t="shared" si="2"/>
        <v>5721.1189719497197</v>
      </c>
      <c r="H11">
        <f t="shared" si="3"/>
        <v>6744.037980782663</v>
      </c>
    </row>
    <row r="12" spans="1:8" x14ac:dyDescent="0.3">
      <c r="A12">
        <v>12</v>
      </c>
      <c r="C12">
        <f t="shared" si="0"/>
        <v>6389.0634968980548</v>
      </c>
      <c r="D12">
        <f t="shared" si="1"/>
        <v>5377.8529695155294</v>
      </c>
      <c r="E12">
        <v>12</v>
      </c>
      <c r="G12">
        <f t="shared" si="2"/>
        <v>5914.6603651848982</v>
      </c>
      <c r="H12">
        <f t="shared" si="3"/>
        <v>6933.9476845987774</v>
      </c>
    </row>
    <row r="13" spans="1:8" x14ac:dyDescent="0.3">
      <c r="A13">
        <v>13</v>
      </c>
      <c r="C13">
        <f t="shared" si="0"/>
        <v>6574.4255257933501</v>
      </c>
      <c r="D13">
        <f t="shared" si="1"/>
        <v>5566.0477856862308</v>
      </c>
      <c r="E13">
        <v>13</v>
      </c>
      <c r="G13">
        <f t="shared" si="2"/>
        <v>6108.2017584200757</v>
      </c>
      <c r="H13">
        <f t="shared" si="3"/>
        <v>7124.0515098186643</v>
      </c>
    </row>
    <row r="14" spans="1:8" x14ac:dyDescent="0.3">
      <c r="A14">
        <v>14</v>
      </c>
      <c r="C14">
        <f t="shared" si="0"/>
        <v>6759.7875546886453</v>
      </c>
      <c r="D14">
        <f t="shared" si="1"/>
        <v>5754.0586999543475</v>
      </c>
      <c r="E14">
        <v>14</v>
      </c>
      <c r="G14">
        <f t="shared" si="2"/>
        <v>6301.7431516552533</v>
      </c>
      <c r="H14">
        <f t="shared" si="3"/>
        <v>7314.3514334343899</v>
      </c>
    </row>
    <row r="15" spans="1:8" x14ac:dyDescent="0.3">
      <c r="A15">
        <v>15</v>
      </c>
      <c r="C15">
        <f t="shared" si="0"/>
        <v>6945.1495835839396</v>
      </c>
      <c r="D15">
        <f t="shared" si="1"/>
        <v>5941.8842556700765</v>
      </c>
      <c r="E15">
        <v>15</v>
      </c>
      <c r="G15">
        <f t="shared" si="2"/>
        <v>6495.2845448904318</v>
      </c>
      <c r="H15">
        <f t="shared" si="3"/>
        <v>7504.8493443219977</v>
      </c>
    </row>
    <row r="16" spans="1:8" x14ac:dyDescent="0.3">
      <c r="A16">
        <v>16</v>
      </c>
      <c r="C16">
        <f t="shared" si="0"/>
        <v>7130.5116124792348</v>
      </c>
      <c r="D16">
        <f t="shared" si="1"/>
        <v>6129.5230842780429</v>
      </c>
      <c r="E16">
        <v>16</v>
      </c>
      <c r="G16">
        <f t="shared" si="2"/>
        <v>6688.8259381256103</v>
      </c>
      <c r="H16">
        <f t="shared" si="3"/>
        <v>7695.5470381266887</v>
      </c>
    </row>
    <row r="17" spans="1:8" x14ac:dyDescent="0.3">
      <c r="A17">
        <v>17</v>
      </c>
      <c r="C17">
        <f t="shared" si="0"/>
        <v>7315.8736413745301</v>
      </c>
      <c r="D17">
        <f t="shared" si="1"/>
        <v>6316.9739089519044</v>
      </c>
      <c r="E17">
        <v>17</v>
      </c>
      <c r="G17">
        <f t="shared" si="2"/>
        <v>6882.3673313607878</v>
      </c>
      <c r="H17">
        <f t="shared" si="3"/>
        <v>7886.4462122939276</v>
      </c>
    </row>
    <row r="18" spans="1:8" x14ac:dyDescent="0.3">
      <c r="A18">
        <v>18</v>
      </c>
      <c r="C18">
        <f t="shared" si="0"/>
        <v>7501.2356702698253</v>
      </c>
      <c r="D18">
        <f t="shared" si="1"/>
        <v>6504.2355480406841</v>
      </c>
      <c r="E18">
        <v>18</v>
      </c>
      <c r="G18">
        <f t="shared" si="2"/>
        <v>7075.9087245959654</v>
      </c>
      <c r="H18">
        <f t="shared" si="3"/>
        <v>8077.5484612762712</v>
      </c>
    </row>
    <row r="19" spans="1:8" x14ac:dyDescent="0.3">
      <c r="A19">
        <v>19</v>
      </c>
      <c r="C19">
        <f t="shared" si="0"/>
        <v>7686.5976991651205</v>
      </c>
      <c r="D19">
        <f t="shared" si="1"/>
        <v>6691.3069183059888</v>
      </c>
      <c r="E19">
        <v>19</v>
      </c>
      <c r="G19">
        <f t="shared" si="2"/>
        <v>7269.4501178311439</v>
      </c>
      <c r="H19">
        <f t="shared" si="3"/>
        <v>8268.8552719455893</v>
      </c>
    </row>
    <row r="20" spans="1:8" x14ac:dyDescent="0.3">
      <c r="A20">
        <v>20</v>
      </c>
      <c r="C20">
        <f t="shared" si="0"/>
        <v>7871.9597280604148</v>
      </c>
      <c r="D20">
        <f t="shared" si="1"/>
        <v>6878.187037930139</v>
      </c>
      <c r="E20">
        <v>20</v>
      </c>
      <c r="G20">
        <f t="shared" si="2"/>
        <v>7462.9915110663223</v>
      </c>
      <c r="H20">
        <f t="shared" si="3"/>
        <v>8460.3680192399024</v>
      </c>
    </row>
    <row r="21" spans="1:8" x14ac:dyDescent="0.3">
      <c r="A21">
        <v>21</v>
      </c>
      <c r="C21">
        <f t="shared" si="0"/>
        <v>8057.32175695571</v>
      </c>
      <c r="D21">
        <f t="shared" si="1"/>
        <v>7064.8750292762461</v>
      </c>
      <c r="E21">
        <v>21</v>
      </c>
      <c r="G21">
        <f t="shared" si="2"/>
        <v>7656.5329043014999</v>
      </c>
      <c r="H21">
        <f t="shared" si="3"/>
        <v>8652.0879620733012</v>
      </c>
    </row>
    <row r="22" spans="1:8" x14ac:dyDescent="0.3">
      <c r="A22">
        <v>22</v>
      </c>
      <c r="C22">
        <f t="shared" si="0"/>
        <v>8242.6837858510044</v>
      </c>
      <c r="D22">
        <f t="shared" si="1"/>
        <v>7251.3701213825298</v>
      </c>
      <c r="E22">
        <v>22</v>
      </c>
      <c r="G22">
        <f t="shared" si="2"/>
        <v>7850.0742975366775</v>
      </c>
      <c r="H22">
        <f t="shared" si="3"/>
        <v>8844.0162395363004</v>
      </c>
    </row>
    <row r="23" spans="1:8" x14ac:dyDescent="0.3">
      <c r="A23">
        <v>23</v>
      </c>
      <c r="C23">
        <f t="shared" si="0"/>
        <v>8428.0458147462996</v>
      </c>
      <c r="D23">
        <f t="shared" si="1"/>
        <v>7437.6716521746575</v>
      </c>
      <c r="E23">
        <v>23</v>
      </c>
      <c r="G23">
        <f t="shared" si="2"/>
        <v>8043.615690771856</v>
      </c>
      <c r="H23">
        <f t="shared" si="3"/>
        <v>9036.1538674126496</v>
      </c>
    </row>
    <row r="24" spans="1:8" x14ac:dyDescent="0.3">
      <c r="A24">
        <v>24</v>
      </c>
      <c r="C24">
        <f t="shared" si="0"/>
        <v>8613.4078436415948</v>
      </c>
      <c r="D24">
        <f t="shared" si="1"/>
        <v>7623.7790703814526</v>
      </c>
      <c r="E24">
        <v>24</v>
      </c>
      <c r="G24">
        <f t="shared" si="2"/>
        <v>8237.1570840070344</v>
      </c>
      <c r="H24">
        <f t="shared" si="3"/>
        <v>9228.501735036818</v>
      </c>
    </row>
    <row r="25" spans="1:8" x14ac:dyDescent="0.3">
      <c r="A25">
        <v>25</v>
      </c>
      <c r="C25">
        <f t="shared" si="0"/>
        <v>8798.76987253689</v>
      </c>
      <c r="D25">
        <f t="shared" si="1"/>
        <v>7809.6919371412041</v>
      </c>
      <c r="E25">
        <v>25</v>
      </c>
      <c r="G25">
        <f t="shared" si="2"/>
        <v>8430.6984772422111</v>
      </c>
      <c r="H25">
        <f t="shared" si="3"/>
        <v>9421.0606025144643</v>
      </c>
    </row>
    <row r="26" spans="1:8" x14ac:dyDescent="0.3">
      <c r="A26">
        <v>26</v>
      </c>
      <c r="C26">
        <f t="shared" si="0"/>
        <v>8984.1319014321853</v>
      </c>
      <c r="D26">
        <f t="shared" si="1"/>
        <v>7995.4099272877138</v>
      </c>
      <c r="E26">
        <v>26</v>
      </c>
      <c r="G26">
        <f t="shared" si="2"/>
        <v>8624.2398704773896</v>
      </c>
      <c r="H26">
        <f t="shared" si="3"/>
        <v>9613.8310983258707</v>
      </c>
    </row>
    <row r="27" spans="1:8" x14ac:dyDescent="0.3">
      <c r="A27">
        <v>27</v>
      </c>
      <c r="C27">
        <f t="shared" si="0"/>
        <v>9169.4939303274805</v>
      </c>
      <c r="D27">
        <f t="shared" si="1"/>
        <v>8180.932830307348</v>
      </c>
      <c r="E27">
        <v>27</v>
      </c>
      <c r="G27">
        <f t="shared" si="2"/>
        <v>8817.781263712568</v>
      </c>
      <c r="H27">
        <f t="shared" si="3"/>
        <v>9806.8137173297582</v>
      </c>
    </row>
    <row r="28" spans="1:8" x14ac:dyDescent="0.3">
      <c r="A28">
        <v>28</v>
      </c>
      <c r="C28">
        <f t="shared" si="0"/>
        <v>9354.8559592227757</v>
      </c>
      <c r="D28">
        <f t="shared" si="1"/>
        <v>8366.26055096052</v>
      </c>
      <c r="E28">
        <v>28</v>
      </c>
      <c r="G28">
        <f t="shared" si="2"/>
        <v>9011.3226569477465</v>
      </c>
      <c r="H28">
        <f t="shared" si="3"/>
        <v>10000.0088191822</v>
      </c>
    </row>
    <row r="29" spans="1:8" x14ac:dyDescent="0.3">
      <c r="A29">
        <v>29</v>
      </c>
      <c r="C29">
        <f t="shared" si="0"/>
        <v>9540.2179881180709</v>
      </c>
      <c r="D29">
        <f t="shared" si="1"/>
        <v>8551.3931095633579</v>
      </c>
      <c r="E29">
        <v>29</v>
      </c>
      <c r="G29">
        <f t="shared" si="2"/>
        <v>9204.8640501829232</v>
      </c>
      <c r="H29">
        <f t="shared" si="3"/>
        <v>10193.41662718236</v>
      </c>
    </row>
    <row r="30" spans="1:8" x14ac:dyDescent="0.3">
      <c r="A30">
        <v>30</v>
      </c>
      <c r="C30">
        <f t="shared" si="0"/>
        <v>9725.5800170133662</v>
      </c>
      <c r="D30">
        <f t="shared" si="1"/>
        <v>8736.3306419275905</v>
      </c>
      <c r="E30">
        <v>30</v>
      </c>
      <c r="G30">
        <f t="shared" si="2"/>
        <v>9398.4054434181016</v>
      </c>
      <c r="H30">
        <f t="shared" si="3"/>
        <v>10387.037227553652</v>
      </c>
    </row>
    <row r="31" spans="1:8" x14ac:dyDescent="0.3">
      <c r="A31">
        <v>31</v>
      </c>
      <c r="C31">
        <f t="shared" si="0"/>
        <v>9910.9420459086596</v>
      </c>
      <c r="D31">
        <f t="shared" si="1"/>
        <v>8921.0733989590863</v>
      </c>
      <c r="E31">
        <v>31</v>
      </c>
      <c r="G31">
        <f t="shared" si="2"/>
        <v>9591.9468366532801</v>
      </c>
      <c r="H31">
        <f t="shared" si="3"/>
        <v>10580.870569165721</v>
      </c>
    </row>
    <row r="32" spans="1:8" x14ac:dyDescent="0.3">
      <c r="A32">
        <v>32</v>
      </c>
      <c r="C32">
        <f t="shared" si="0"/>
        <v>10096.304074803955</v>
      </c>
      <c r="D32">
        <f t="shared" si="1"/>
        <v>9105.6217459178042</v>
      </c>
      <c r="E32">
        <v>32</v>
      </c>
      <c r="G32">
        <f t="shared" si="2"/>
        <v>9785.4882298884586</v>
      </c>
      <c r="H32">
        <f t="shared" si="3"/>
        <v>10774.916463699337</v>
      </c>
    </row>
    <row r="33" spans="1:8" x14ac:dyDescent="0.3">
      <c r="A33">
        <v>33</v>
      </c>
      <c r="C33">
        <f t="shared" ref="C33:C64" si="4">4350.08117904981+(A33-1)*185.362028895295</f>
        <v>10281.66610369925</v>
      </c>
      <c r="D33">
        <f t="shared" ref="D33:D64" si="5">0+1*C33-975.456872983591*(1.02702702702703+(C33-9229.5945945946)^2/169427206.030365)^0.5</f>
        <v>9289.9761613442188</v>
      </c>
      <c r="E33">
        <v>33</v>
      </c>
      <c r="G33">
        <f t="shared" ref="G33:G64" si="6">3785.70503959794+(E33-1)*193.541393235178</f>
        <v>9979.0296231236352</v>
      </c>
      <c r="H33">
        <f t="shared" ref="H33:H64" si="7">0+1*G33+975.456872983591*(1.02702702702703+(G33-9229.5945945946)^2/169427206.030365)^0.5</f>
        <v>10969.174586252961</v>
      </c>
    </row>
    <row r="34" spans="1:8" x14ac:dyDescent="0.3">
      <c r="A34">
        <v>34</v>
      </c>
      <c r="C34">
        <f t="shared" si="4"/>
        <v>10467.028132594545</v>
      </c>
      <c r="D34">
        <f t="shared" si="5"/>
        <v>9474.1372356595966</v>
      </c>
      <c r="E34">
        <v>34</v>
      </c>
      <c r="G34">
        <f t="shared" si="6"/>
        <v>10172.571016358814</v>
      </c>
      <c r="H34">
        <f t="shared" si="7"/>
        <v>11163.644476386431</v>
      </c>
    </row>
    <row r="35" spans="1:8" x14ac:dyDescent="0.3">
      <c r="A35">
        <v>35</v>
      </c>
      <c r="C35">
        <f t="shared" si="4"/>
        <v>10652.39016148984</v>
      </c>
      <c r="D35">
        <f t="shared" si="5"/>
        <v>9658.105669449571</v>
      </c>
      <c r="E35">
        <v>35</v>
      </c>
      <c r="G35">
        <f t="shared" si="6"/>
        <v>10366.112409593992</v>
      </c>
      <c r="H35">
        <f t="shared" si="7"/>
        <v>11358.32553959396</v>
      </c>
    </row>
    <row r="36" spans="1:8" x14ac:dyDescent="0.3">
      <c r="A36">
        <v>36</v>
      </c>
      <c r="C36">
        <f t="shared" si="4"/>
        <v>10837.752190385134</v>
      </c>
      <c r="D36">
        <f t="shared" si="5"/>
        <v>9841.8822714426078</v>
      </c>
      <c r="E36">
        <v>36</v>
      </c>
      <c r="G36">
        <f t="shared" si="6"/>
        <v>10559.653802829169</v>
      </c>
      <c r="H36">
        <f t="shared" si="7"/>
        <v>11553.217049195515</v>
      </c>
    </row>
    <row r="37" spans="1:8" x14ac:dyDescent="0.3">
      <c r="A37">
        <v>37</v>
      </c>
      <c r="C37">
        <f t="shared" si="4"/>
        <v>11023.114219280429</v>
      </c>
      <c r="D37">
        <f t="shared" si="5"/>
        <v>10025.467956196795</v>
      </c>
      <c r="E37">
        <v>37</v>
      </c>
      <c r="G37">
        <f t="shared" si="6"/>
        <v>10753.195196064347</v>
      </c>
      <c r="H37">
        <f t="shared" si="7"/>
        <v>11748.318148632628</v>
      </c>
    </row>
    <row r="38" spans="1:8" x14ac:dyDescent="0.3">
      <c r="A38">
        <v>38</v>
      </c>
      <c r="C38">
        <f t="shared" si="4"/>
        <v>11208.476248175724</v>
      </c>
      <c r="D38">
        <f t="shared" si="5"/>
        <v>10208.863741510162</v>
      </c>
      <c r="E38">
        <v>38</v>
      </c>
      <c r="G38">
        <f t="shared" si="6"/>
        <v>10946.736589299526</v>
      </c>
      <c r="H38">
        <f t="shared" si="7"/>
        <v>11943.627854151855</v>
      </c>
    </row>
    <row r="39" spans="1:8" x14ac:dyDescent="0.3">
      <c r="A39">
        <v>39</v>
      </c>
      <c r="C39">
        <f t="shared" si="4"/>
        <v>11393.83827707102</v>
      </c>
      <c r="D39">
        <f t="shared" si="5"/>
        <v>10392.070745571316</v>
      </c>
      <c r="E39">
        <v>39</v>
      </c>
      <c r="G39">
        <f t="shared" si="6"/>
        <v>11140.277982534704</v>
      </c>
      <c r="H39">
        <f t="shared" si="7"/>
        <v>12139.145057856551</v>
      </c>
    </row>
    <row r="40" spans="1:8" x14ac:dyDescent="0.3">
      <c r="A40">
        <v>40</v>
      </c>
      <c r="C40">
        <f t="shared" si="4"/>
        <v>11579.200305966315</v>
      </c>
      <c r="D40">
        <f t="shared" si="5"/>
        <v>10575.090183868577</v>
      </c>
      <c r="E40">
        <v>40</v>
      </c>
      <c r="G40">
        <f t="shared" si="6"/>
        <v>11333.819375769881</v>
      </c>
      <c r="H40">
        <f t="shared" si="7"/>
        <v>12334.868531105245</v>
      </c>
    </row>
    <row r="41" spans="1:8" x14ac:dyDescent="0.3">
      <c r="A41">
        <v>41</v>
      </c>
      <c r="C41">
        <f t="shared" si="4"/>
        <v>11764.56233486161</v>
      </c>
      <c r="D41">
        <f t="shared" si="5"/>
        <v>10757.923365876908</v>
      </c>
      <c r="E41">
        <v>41</v>
      </c>
      <c r="G41">
        <f t="shared" si="6"/>
        <v>11527.360769005059</v>
      </c>
      <c r="H41">
        <f t="shared" si="7"/>
        <v>12530.796928232816</v>
      </c>
    </row>
    <row r="42" spans="1:8" x14ac:dyDescent="0.3">
      <c r="A42">
        <v>42</v>
      </c>
      <c r="C42">
        <f t="shared" si="4"/>
        <v>11949.924363756905</v>
      </c>
      <c r="D42">
        <f t="shared" si="5"/>
        <v>10940.571691542993</v>
      </c>
      <c r="E42">
        <v>42</v>
      </c>
      <c r="G42">
        <f t="shared" si="6"/>
        <v>11720.902162240238</v>
      </c>
      <c r="H42">
        <f t="shared" si="7"/>
        <v>12726.9287905689</v>
      </c>
    </row>
    <row r="43" spans="1:8" x14ac:dyDescent="0.3">
      <c r="A43">
        <v>43</v>
      </c>
      <c r="C43">
        <f t="shared" si="4"/>
        <v>12135.2863926522</v>
      </c>
      <c r="D43">
        <f t="shared" si="5"/>
        <v>11123.036647589515</v>
      </c>
      <c r="E43">
        <v>43</v>
      </c>
      <c r="G43">
        <f t="shared" si="6"/>
        <v>11914.443555475416</v>
      </c>
      <c r="H43">
        <f t="shared" si="7"/>
        <v>12923.262550726498</v>
      </c>
    </row>
    <row r="44" spans="1:8" x14ac:dyDescent="0.3">
      <c r="A44">
        <v>44</v>
      </c>
      <c r="C44">
        <f t="shared" si="4"/>
        <v>12320.648421547496</v>
      </c>
      <c r="D44">
        <f t="shared" si="5"/>
        <v>11305.319803660212</v>
      </c>
      <c r="E44">
        <v>44</v>
      </c>
      <c r="G44">
        <f t="shared" si="6"/>
        <v>12107.984948710595</v>
      </c>
      <c r="H44">
        <f t="shared" si="7"/>
        <v>13119.796537132544</v>
      </c>
    </row>
    <row r="45" spans="1:8" x14ac:dyDescent="0.3">
      <c r="A45">
        <v>45</v>
      </c>
      <c r="C45">
        <f t="shared" si="4"/>
        <v>12506.010450442791</v>
      </c>
      <c r="D45">
        <f t="shared" si="5"/>
        <v>11487.422808327659</v>
      </c>
      <c r="E45">
        <v>45</v>
      </c>
      <c r="G45">
        <f t="shared" si="6"/>
        <v>12301.526341945771</v>
      </c>
      <c r="H45">
        <f t="shared" si="7"/>
        <v>13316.528978771399</v>
      </c>
    </row>
    <row r="46" spans="1:8" x14ac:dyDescent="0.3">
      <c r="A46">
        <v>46</v>
      </c>
      <c r="C46">
        <f t="shared" si="4"/>
        <v>12691.372479338084</v>
      </c>
      <c r="D46">
        <f t="shared" si="5"/>
        <v>11669.347384985822</v>
      </c>
      <c r="E46">
        <v>46</v>
      </c>
      <c r="G46">
        <f t="shared" si="6"/>
        <v>12495.06773518095</v>
      </c>
      <c r="H46">
        <f t="shared" si="7"/>
        <v>13513.458010111679</v>
      </c>
    </row>
    <row r="47" spans="1:8" x14ac:dyDescent="0.3">
      <c r="A47">
        <v>47</v>
      </c>
      <c r="C47">
        <f t="shared" si="4"/>
        <v>12876.73450823338</v>
      </c>
      <c r="D47">
        <f t="shared" si="5"/>
        <v>11851.095327649307</v>
      </c>
      <c r="E47">
        <v>47</v>
      </c>
      <c r="G47">
        <f t="shared" si="6"/>
        <v>12688.609128416128</v>
      </c>
      <c r="H47">
        <f t="shared" si="7"/>
        <v>13710.581676186604</v>
      </c>
    </row>
    <row r="48" spans="1:8" x14ac:dyDescent="0.3">
      <c r="A48">
        <v>48</v>
      </c>
      <c r="C48">
        <f t="shared" si="4"/>
        <v>13062.096537128675</v>
      </c>
      <c r="D48">
        <f t="shared" si="5"/>
        <v>12032.668496681015</v>
      </c>
      <c r="E48">
        <v>48</v>
      </c>
      <c r="G48">
        <f t="shared" si="6"/>
        <v>12882.150521651307</v>
      </c>
      <c r="H48">
        <f t="shared" si="7"/>
        <v>13907.897937798161</v>
      </c>
    </row>
    <row r="49" spans="1:8" x14ac:dyDescent="0.3">
      <c r="A49">
        <v>49</v>
      </c>
      <c r="C49">
        <f t="shared" si="4"/>
        <v>13247.45856602397</v>
      </c>
      <c r="D49">
        <f t="shared" si="5"/>
        <v>12214.06881446942</v>
      </c>
      <c r="E49">
        <v>49</v>
      </c>
      <c r="G49">
        <f t="shared" si="6"/>
        <v>13075.691914886484</v>
      </c>
      <c r="H49">
        <f t="shared" si="7"/>
        <v>14105.404676815702</v>
      </c>
    </row>
    <row r="50" spans="1:8" x14ac:dyDescent="0.3">
      <c r="A50">
        <v>50</v>
      </c>
      <c r="C50">
        <f t="shared" si="4"/>
        <v>13432.820594919265</v>
      </c>
      <c r="D50">
        <f t="shared" si="5"/>
        <v>12395.298261076099</v>
      </c>
      <c r="E50">
        <v>50</v>
      </c>
      <c r="G50">
        <f t="shared" si="6"/>
        <v>13269.233308121662</v>
      </c>
      <c r="H50">
        <f t="shared" si="7"/>
        <v>14303.099701540237</v>
      </c>
    </row>
    <row r="51" spans="1:8" x14ac:dyDescent="0.3">
      <c r="A51">
        <v>51</v>
      </c>
      <c r="C51">
        <f t="shared" si="4"/>
        <v>13618.18262381456</v>
      </c>
      <c r="D51">
        <f t="shared" si="5"/>
        <v>12576.35886987338</v>
      </c>
      <c r="E51">
        <v>51</v>
      </c>
      <c r="G51">
        <f t="shared" si="6"/>
        <v>13462.774701356841</v>
      </c>
      <c r="H51">
        <f t="shared" si="7"/>
        <v>14500.98075210652</v>
      </c>
    </row>
    <row r="52" spans="1:8" x14ac:dyDescent="0.3">
      <c r="A52">
        <v>52</v>
      </c>
      <c r="C52">
        <f t="shared" si="4"/>
        <v>13803.544652709856</v>
      </c>
      <c r="D52">
        <f t="shared" si="5"/>
        <v>12757.25272319107</v>
      </c>
      <c r="E52">
        <v>52</v>
      </c>
      <c r="G52">
        <f t="shared" si="6"/>
        <v>13656.316094592017</v>
      </c>
      <c r="H52">
        <f t="shared" si="7"/>
        <v>14699.045505896138</v>
      </c>
    </row>
    <row r="53" spans="1:8" x14ac:dyDescent="0.3">
      <c r="A53">
        <v>53</v>
      </c>
      <c r="C53">
        <f t="shared" si="4"/>
        <v>13988.906681605151</v>
      </c>
      <c r="D53">
        <f t="shared" si="5"/>
        <v>12937.981947990265</v>
      </c>
      <c r="E53">
        <v>53</v>
      </c>
      <c r="G53">
        <f t="shared" si="6"/>
        <v>13849.857487827196</v>
      </c>
      <c r="H53">
        <f t="shared" si="7"/>
        <v>14897.291582936055</v>
      </c>
    </row>
    <row r="54" spans="1:8" x14ac:dyDescent="0.3">
      <c r="A54">
        <v>54</v>
      </c>
      <c r="C54">
        <f t="shared" si="4"/>
        <v>14174.268710500444</v>
      </c>
      <c r="D54">
        <f t="shared" si="5"/>
        <v>13118.548711581117</v>
      </c>
      <c r="E54">
        <v>54</v>
      </c>
      <c r="G54">
        <f t="shared" si="6"/>
        <v>14043.398881062374</v>
      </c>
      <c r="H54">
        <f t="shared" si="7"/>
        <v>15095.716551258438</v>
      </c>
    </row>
    <row r="55" spans="1:8" x14ac:dyDescent="0.3">
      <c r="A55">
        <v>55</v>
      </c>
      <c r="C55">
        <f t="shared" si="4"/>
        <v>14359.63073939574</v>
      </c>
      <c r="D55">
        <f t="shared" si="5"/>
        <v>13298.955217400322</v>
      </c>
      <c r="E55">
        <v>55</v>
      </c>
      <c r="G55">
        <f t="shared" si="6"/>
        <v>14236.940274297553</v>
      </c>
      <c r="H55">
        <f t="shared" si="7"/>
        <v>15294.317932199263</v>
      </c>
    </row>
    <row r="56" spans="1:8" x14ac:dyDescent="0.3">
      <c r="A56">
        <v>56</v>
      </c>
      <c r="C56">
        <f t="shared" si="4"/>
        <v>14544.992768291035</v>
      </c>
      <c r="D56">
        <f t="shared" si="5"/>
        <v>13479.20370086277</v>
      </c>
      <c r="E56">
        <v>56</v>
      </c>
      <c r="G56">
        <f t="shared" si="6"/>
        <v>14430.481667532729</v>
      </c>
      <c r="H56">
        <f t="shared" si="7"/>
        <v>15493.093205614743</v>
      </c>
    </row>
    <row r="57" spans="1:8" x14ac:dyDescent="0.3">
      <c r="A57">
        <v>57</v>
      </c>
      <c r="C57">
        <f t="shared" si="4"/>
        <v>14730.35479718633</v>
      </c>
      <c r="D57">
        <f t="shared" si="5"/>
        <v>13659.296425300701</v>
      </c>
      <c r="E57">
        <v>57</v>
      </c>
      <c r="G57">
        <f t="shared" si="6"/>
        <v>14624.023060767908</v>
      </c>
      <c r="H57">
        <f t="shared" si="7"/>
        <v>15692.039814996428</v>
      </c>
    </row>
    <row r="58" spans="1:8" x14ac:dyDescent="0.3">
      <c r="A58">
        <v>58</v>
      </c>
      <c r="C58">
        <f t="shared" si="4"/>
        <v>14915.716826081625</v>
      </c>
      <c r="D58">
        <f t="shared" si="5"/>
        <v>13839.235678002242</v>
      </c>
      <c r="E58">
        <v>58</v>
      </c>
      <c r="G58">
        <f t="shared" si="6"/>
        <v>14817.564454003086</v>
      </c>
      <c r="H58">
        <f t="shared" si="7"/>
        <v>15891.155172467577</v>
      </c>
    </row>
    <row r="59" spans="1:8" x14ac:dyDescent="0.3">
      <c r="A59">
        <v>59</v>
      </c>
      <c r="C59">
        <f t="shared" si="4"/>
        <v>15101.07885497692</v>
      </c>
      <c r="D59">
        <f t="shared" si="5"/>
        <v>14019.023766360058</v>
      </c>
      <c r="E59">
        <v>59</v>
      </c>
      <c r="G59">
        <f t="shared" si="6"/>
        <v>15011.105847238265</v>
      </c>
      <c r="H59">
        <f t="shared" si="7"/>
        <v>16090.436663645292</v>
      </c>
    </row>
    <row r="60" spans="1:8" x14ac:dyDescent="0.3">
      <c r="A60">
        <v>60</v>
      </c>
      <c r="C60">
        <f t="shared" si="4"/>
        <v>15286.440883872216</v>
      </c>
      <c r="D60">
        <f t="shared" si="5"/>
        <v>14198.663014139469</v>
      </c>
      <c r="E60">
        <v>60</v>
      </c>
      <c r="G60">
        <f t="shared" si="6"/>
        <v>15204.647240473441</v>
      </c>
      <c r="H60">
        <f t="shared" si="7"/>
        <v>16289.881652354627</v>
      </c>
    </row>
    <row r="61" spans="1:8" x14ac:dyDescent="0.3">
      <c r="A61">
        <v>61</v>
      </c>
      <c r="C61">
        <f t="shared" si="4"/>
        <v>15471.802912767509</v>
      </c>
      <c r="D61">
        <f t="shared" si="5"/>
        <v>14378.155757874167</v>
      </c>
      <c r="E61">
        <v>61</v>
      </c>
      <c r="G61">
        <f t="shared" si="6"/>
        <v>15398.18863370862</v>
      </c>
      <c r="H61">
        <f t="shared" si="7"/>
        <v>16489.487485182781</v>
      </c>
    </row>
    <row r="62" spans="1:8" x14ac:dyDescent="0.3">
      <c r="A62">
        <v>62</v>
      </c>
      <c r="C62">
        <f t="shared" si="4"/>
        <v>15657.164941662804</v>
      </c>
      <c r="D62">
        <f t="shared" si="5"/>
        <v>14557.504343396402</v>
      </c>
      <c r="E62">
        <v>62</v>
      </c>
      <c r="G62">
        <f t="shared" si="6"/>
        <v>15591.730026943798</v>
      </c>
      <c r="H62">
        <f t="shared" si="7"/>
        <v>16689.251495863213</v>
      </c>
    </row>
    <row r="63" spans="1:8" x14ac:dyDescent="0.3">
      <c r="A63">
        <v>63</v>
      </c>
      <c r="C63">
        <f t="shared" si="4"/>
        <v>15842.526970558099</v>
      </c>
      <c r="D63">
        <f t="shared" si="5"/>
        <v>14736.711122507317</v>
      </c>
      <c r="E63">
        <v>63</v>
      </c>
      <c r="G63">
        <f t="shared" si="6"/>
        <v>15785.271420178977</v>
      </c>
      <c r="H63">
        <f t="shared" si="7"/>
        <v>16889.171009481244</v>
      </c>
    </row>
    <row r="64" spans="1:8" x14ac:dyDescent="0.3">
      <c r="A64">
        <v>64</v>
      </c>
      <c r="C64">
        <f t="shared" si="4"/>
        <v>16027.888999453395</v>
      </c>
      <c r="D64">
        <f t="shared" si="5"/>
        <v>14915.778449791967</v>
      </c>
      <c r="E64">
        <v>64</v>
      </c>
      <c r="G64">
        <f t="shared" si="6"/>
        <v>15978.812813414153</v>
      </c>
      <c r="H64">
        <f t="shared" si="7"/>
        <v>17089.243346494397</v>
      </c>
    </row>
    <row r="65" spans="1:8" x14ac:dyDescent="0.3">
      <c r="A65">
        <v>65</v>
      </c>
      <c r="C65">
        <f t="shared" ref="C65:C70" si="8">4350.08117904981+(A65-1)*185.362028895295</f>
        <v>16213.25102834869</v>
      </c>
      <c r="D65">
        <f t="shared" ref="D65:D70" si="9">0+1*C65-975.456872983591*(1.02702702702703+(C65-9229.5945945946)^2/169427206.030365)^0.5</f>
        <v>15094.708679582429</v>
      </c>
      <c r="E65">
        <v>65</v>
      </c>
      <c r="G65">
        <f t="shared" ref="G65:G70" si="10">3785.70503959794+(E65-1)*193.541393235178</f>
        <v>16172.354206649332</v>
      </c>
      <c r="H65">
        <f t="shared" ref="H65:H70" si="11">0+1*G65+975.456872983591*(1.02702702702703+(G65-9229.5945945946)^2/169427206.030365)^0.5</f>
        <v>17289.465826562275</v>
      </c>
    </row>
    <row r="66" spans="1:8" x14ac:dyDescent="0.3">
      <c r="A66">
        <v>66</v>
      </c>
      <c r="C66">
        <f t="shared" si="8"/>
        <v>16398.613057243987</v>
      </c>
      <c r="D66">
        <f t="shared" si="9"/>
        <v>15273.50416307144</v>
      </c>
      <c r="E66">
        <v>66</v>
      </c>
      <c r="G66">
        <f t="shared" si="10"/>
        <v>16365.89559988451</v>
      </c>
      <c r="H66">
        <f t="shared" si="11"/>
        <v>17489.835772182239</v>
      </c>
    </row>
    <row r="67" spans="1:8" x14ac:dyDescent="0.3">
      <c r="A67">
        <v>67</v>
      </c>
      <c r="C67">
        <f t="shared" si="8"/>
        <v>16583.975086139282</v>
      </c>
      <c r="D67">
        <f t="shared" si="9"/>
        <v>15452.167245577941</v>
      </c>
      <c r="E67">
        <v>67</v>
      </c>
      <c r="G67">
        <f t="shared" si="10"/>
        <v>16559.436993119685</v>
      </c>
      <c r="H67">
        <f t="shared" si="11"/>
        <v>17690.350512128654</v>
      </c>
    </row>
    <row r="68" spans="1:8" x14ac:dyDescent="0.3">
      <c r="A68">
        <v>68</v>
      </c>
      <c r="C68">
        <f t="shared" si="8"/>
        <v>16769.337115034577</v>
      </c>
      <c r="D68">
        <f t="shared" si="9"/>
        <v>15630.700263965102</v>
      </c>
      <c r="E68">
        <v>68</v>
      </c>
      <c r="G68">
        <f t="shared" si="10"/>
        <v>16752.978386354866</v>
      </c>
      <c r="H68">
        <f t="shared" si="11"/>
        <v>17891.007384694687</v>
      </c>
    </row>
    <row r="69" spans="1:8" x14ac:dyDescent="0.3">
      <c r="A69">
        <v>69</v>
      </c>
      <c r="C69">
        <f t="shared" si="8"/>
        <v>16954.699143929873</v>
      </c>
      <c r="D69">
        <f t="shared" si="9"/>
        <v>15809.105544210488</v>
      </c>
      <c r="E69">
        <v>69</v>
      </c>
      <c r="G69">
        <f t="shared" si="10"/>
        <v>16946.519779590042</v>
      </c>
      <c r="H69">
        <f t="shared" si="11"/>
        <v>18091.803740736756</v>
      </c>
    </row>
    <row r="70" spans="1:8" x14ac:dyDescent="0.3">
      <c r="A70">
        <v>70</v>
      </c>
      <c r="C70">
        <f t="shared" si="8"/>
        <v>17140.061172825164</v>
      </c>
      <c r="D70">
        <f t="shared" si="9"/>
        <v>15987.385399127306</v>
      </c>
      <c r="E70">
        <v>70</v>
      </c>
      <c r="G70">
        <f t="shared" si="10"/>
        <v>17140.061172825222</v>
      </c>
      <c r="H70">
        <f t="shared" si="11"/>
        <v>18292.73694652308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F9FA-FFE4-4CC1-914B-975C3D91888C}">
  <sheetPr codeName="XLSTAT_20211005_102028_1_HID">
    <tabColor rgb="FF007800"/>
  </sheetPr>
  <dimension ref="A1:H70"/>
  <sheetViews>
    <sheetView workbookViewId="0"/>
  </sheetViews>
  <sheetFormatPr baseColWidth="10" defaultColWidth="8.88671875" defaultRowHeight="14.4" x14ac:dyDescent="0.3"/>
  <sheetData>
    <row r="1" spans="1:8" x14ac:dyDescent="0.3">
      <c r="A1">
        <v>1</v>
      </c>
      <c r="C1">
        <f t="shared" ref="C1:C32" si="0">4356.29719817751+(A1-1)*184.591728455059</f>
        <v>4356.2971981775099</v>
      </c>
      <c r="D1">
        <f t="shared" ref="D1:D32" si="1">0+1*C1-986.286348792081*(1.02702702702703+(C1-9229.5945945946)^2/169505186.519289)^0.5</f>
        <v>3290.7723845649743</v>
      </c>
      <c r="E1">
        <v>1</v>
      </c>
      <c r="G1">
        <f t="shared" ref="G1:G32" si="2">3789.28313863851+(E1-1)*192.809323520841</f>
        <v>3789.2831386385101</v>
      </c>
      <c r="H1">
        <f t="shared" ref="H1:H32" si="3">0+1*G1+986.286348792081*(1.02702702702703+(G1-9229.5945945946)^2/169505186.519289)^0.5</f>
        <v>4870.441572915076</v>
      </c>
    </row>
    <row r="2" spans="1:8" x14ac:dyDescent="0.3">
      <c r="A2">
        <v>2</v>
      </c>
      <c r="C2">
        <f t="shared" si="0"/>
        <v>4540.8889266325687</v>
      </c>
      <c r="D2">
        <f t="shared" si="1"/>
        <v>3480.1280120011711</v>
      </c>
      <c r="E2">
        <v>2</v>
      </c>
      <c r="G2">
        <f t="shared" si="2"/>
        <v>3982.0924621593513</v>
      </c>
      <c r="H2">
        <f t="shared" si="3"/>
        <v>5057.767832975218</v>
      </c>
    </row>
    <row r="3" spans="1:8" x14ac:dyDescent="0.3">
      <c r="A3">
        <v>3</v>
      </c>
      <c r="C3">
        <f t="shared" si="0"/>
        <v>4725.4806550876283</v>
      </c>
      <c r="D3">
        <f t="shared" si="1"/>
        <v>3669.3199673489312</v>
      </c>
      <c r="E3">
        <v>3</v>
      </c>
      <c r="G3">
        <f t="shared" si="2"/>
        <v>4174.901785680192</v>
      </c>
      <c r="H3">
        <f t="shared" si="3"/>
        <v>5245.2653376832859</v>
      </c>
    </row>
    <row r="4" spans="1:8" x14ac:dyDescent="0.3">
      <c r="A4">
        <v>4</v>
      </c>
      <c r="C4">
        <f t="shared" si="0"/>
        <v>4910.072383542687</v>
      </c>
      <c r="D4">
        <f t="shared" si="1"/>
        <v>3858.3461029120544</v>
      </c>
      <c r="E4">
        <v>4</v>
      </c>
      <c r="G4">
        <f t="shared" si="2"/>
        <v>4367.7111092010327</v>
      </c>
      <c r="H4">
        <f t="shared" si="3"/>
        <v>5432.9366488112319</v>
      </c>
    </row>
    <row r="5" spans="1:8" x14ac:dyDescent="0.3">
      <c r="A5">
        <v>5</v>
      </c>
      <c r="C5">
        <f t="shared" si="0"/>
        <v>5094.6641119977457</v>
      </c>
      <c r="D5">
        <f t="shared" si="1"/>
        <v>4047.2043127008756</v>
      </c>
      <c r="E5">
        <v>5</v>
      </c>
      <c r="G5">
        <f t="shared" si="2"/>
        <v>4560.5204327218744</v>
      </c>
      <c r="H5">
        <f t="shared" si="3"/>
        <v>5620.7842931468767</v>
      </c>
    </row>
    <row r="6" spans="1:8" x14ac:dyDescent="0.3">
      <c r="A6">
        <v>6</v>
      </c>
      <c r="C6">
        <f t="shared" si="0"/>
        <v>5279.2558404528045</v>
      </c>
      <c r="D6">
        <f t="shared" si="1"/>
        <v>4235.8925366863914</v>
      </c>
      <c r="E6">
        <v>6</v>
      </c>
      <c r="G6">
        <f t="shared" si="2"/>
        <v>4753.3297562427151</v>
      </c>
      <c r="H6">
        <f t="shared" si="3"/>
        <v>5808.8107574517144</v>
      </c>
    </row>
    <row r="7" spans="1:8" x14ac:dyDescent="0.3">
      <c r="A7">
        <v>7</v>
      </c>
      <c r="C7">
        <f t="shared" si="0"/>
        <v>5463.8475689078641</v>
      </c>
      <c r="D7">
        <f t="shared" si="1"/>
        <v>4424.4087650915371</v>
      </c>
      <c r="E7">
        <v>7</v>
      </c>
      <c r="G7">
        <f t="shared" si="2"/>
        <v>4946.1390797635559</v>
      </c>
      <c r="H7">
        <f t="shared" si="3"/>
        <v>5997.0184833143649</v>
      </c>
    </row>
    <row r="8" spans="1:8" x14ac:dyDescent="0.3">
      <c r="A8">
        <v>8</v>
      </c>
      <c r="C8">
        <f t="shared" si="0"/>
        <v>5648.4392973629228</v>
      </c>
      <c r="D8">
        <f t="shared" si="1"/>
        <v>4612.7510427026227</v>
      </c>
      <c r="E8">
        <v>8</v>
      </c>
      <c r="G8">
        <f t="shared" si="2"/>
        <v>5138.9484032843975</v>
      </c>
      <c r="H8">
        <f t="shared" si="3"/>
        <v>6185.4098619181059</v>
      </c>
    </row>
    <row r="9" spans="1:8" x14ac:dyDescent="0.3">
      <c r="A9">
        <v>9</v>
      </c>
      <c r="C9">
        <f t="shared" si="0"/>
        <v>5833.0310258179816</v>
      </c>
      <c r="D9">
        <f t="shared" si="1"/>
        <v>4800.9174731829498</v>
      </c>
      <c r="E9">
        <v>9</v>
      </c>
      <c r="G9">
        <f t="shared" si="2"/>
        <v>5331.7577268052382</v>
      </c>
      <c r="H9">
        <f t="shared" si="3"/>
        <v>6373.9872287426006</v>
      </c>
    </row>
    <row r="10" spans="1:8" x14ac:dyDescent="0.3">
      <c r="A10">
        <v>10</v>
      </c>
      <c r="C10">
        <f t="shared" si="0"/>
        <v>6017.6227542730412</v>
      </c>
      <c r="D10">
        <f t="shared" si="1"/>
        <v>4988.9062233696313</v>
      </c>
      <c r="E10">
        <v>10</v>
      </c>
      <c r="G10">
        <f t="shared" si="2"/>
        <v>5524.567050326079</v>
      </c>
      <c r="H10">
        <f t="shared" si="3"/>
        <v>6562.7528582216355</v>
      </c>
    </row>
    <row r="11" spans="1:8" x14ac:dyDescent="0.3">
      <c r="A11">
        <v>11</v>
      </c>
      <c r="C11">
        <f t="shared" si="0"/>
        <v>6202.2144827280999</v>
      </c>
      <c r="D11">
        <f t="shared" si="1"/>
        <v>5176.7155275338919</v>
      </c>
      <c r="E11">
        <v>11</v>
      </c>
      <c r="G11">
        <f t="shared" si="2"/>
        <v>5717.3763738469197</v>
      </c>
      <c r="H11">
        <f t="shared" si="3"/>
        <v>6751.7089583801662</v>
      </c>
    </row>
    <row r="12" spans="1:8" x14ac:dyDescent="0.3">
      <c r="A12">
        <v>12</v>
      </c>
      <c r="C12">
        <f t="shared" si="0"/>
        <v>6386.8062111831587</v>
      </c>
      <c r="D12">
        <f t="shared" si="1"/>
        <v>5364.3436915843686</v>
      </c>
      <c r="E12">
        <v>12</v>
      </c>
      <c r="G12">
        <f t="shared" si="2"/>
        <v>5910.1856973677604</v>
      </c>
      <c r="H12">
        <f t="shared" si="3"/>
        <v>6940.857665475477</v>
      </c>
    </row>
    <row r="13" spans="1:8" x14ac:dyDescent="0.3">
      <c r="A13">
        <v>13</v>
      </c>
      <c r="C13">
        <f t="shared" si="0"/>
        <v>6571.3979396382183</v>
      </c>
      <c r="D13">
        <f t="shared" si="1"/>
        <v>5551.7890971924344</v>
      </c>
      <c r="E13">
        <v>13</v>
      </c>
      <c r="G13">
        <f t="shared" si="2"/>
        <v>6102.9950208886021</v>
      </c>
      <c r="H13">
        <f t="shared" si="3"/>
        <v>7130.2010386684697</v>
      </c>
    </row>
    <row r="14" spans="1:8" x14ac:dyDescent="0.3">
      <c r="A14">
        <v>14</v>
      </c>
      <c r="C14">
        <f t="shared" si="0"/>
        <v>6755.989668093277</v>
      </c>
      <c r="D14">
        <f t="shared" si="1"/>
        <v>5739.0502058181701</v>
      </c>
      <c r="E14">
        <v>14</v>
      </c>
      <c r="G14">
        <f t="shared" si="2"/>
        <v>6295.8043444094428</v>
      </c>
      <c r="H14">
        <f t="shared" si="3"/>
        <v>7319.7410547522468</v>
      </c>
    </row>
    <row r="15" spans="1:8" x14ac:dyDescent="0.3">
      <c r="A15">
        <v>15</v>
      </c>
      <c r="C15">
        <f t="shared" si="0"/>
        <v>6940.5813965483358</v>
      </c>
      <c r="D15">
        <f t="shared" si="1"/>
        <v>5926.1255626154025</v>
      </c>
      <c r="E15">
        <v>15</v>
      </c>
      <c r="G15">
        <f t="shared" si="2"/>
        <v>6488.6136679302836</v>
      </c>
      <c r="H15">
        <f t="shared" si="3"/>
        <v>7509.4796029660483</v>
      </c>
    </row>
    <row r="16" spans="1:8" x14ac:dyDescent="0.3">
      <c r="A16">
        <v>16</v>
      </c>
      <c r="C16">
        <f t="shared" si="0"/>
        <v>7125.1731250033954</v>
      </c>
      <c r="D16">
        <f t="shared" si="1"/>
        <v>6113.0138001942159</v>
      </c>
      <c r="E16">
        <v>16</v>
      </c>
      <c r="G16">
        <f t="shared" si="2"/>
        <v>6681.4229914511252</v>
      </c>
      <c r="H16">
        <f t="shared" si="3"/>
        <v>7699.4184799232389</v>
      </c>
    </row>
    <row r="17" spans="1:8" x14ac:dyDescent="0.3">
      <c r="A17">
        <v>17</v>
      </c>
      <c r="C17">
        <f t="shared" si="0"/>
        <v>7309.7648534584541</v>
      </c>
      <c r="D17">
        <f t="shared" si="1"/>
        <v>6299.7136422195335</v>
      </c>
      <c r="E17">
        <v>17</v>
      </c>
      <c r="G17">
        <f t="shared" si="2"/>
        <v>6874.2323149719659</v>
      </c>
      <c r="H17">
        <f t="shared" si="3"/>
        <v>7889.5593846825304</v>
      </c>
    </row>
    <row r="18" spans="1:8" x14ac:dyDescent="0.3">
      <c r="A18">
        <v>18</v>
      </c>
      <c r="C18">
        <f t="shared" si="0"/>
        <v>7494.3565819135129</v>
      </c>
      <c r="D18">
        <f t="shared" si="1"/>
        <v>6486.2239068247245</v>
      </c>
      <c r="E18">
        <v>18</v>
      </c>
      <c r="G18">
        <f t="shared" si="2"/>
        <v>7067.0416384928067</v>
      </c>
      <c r="H18">
        <f t="shared" si="3"/>
        <v>8079.9039139917204</v>
      </c>
    </row>
    <row r="19" spans="1:8" x14ac:dyDescent="0.3">
      <c r="A19">
        <v>19</v>
      </c>
      <c r="C19">
        <f t="shared" si="0"/>
        <v>7678.9483103685725</v>
      </c>
      <c r="D19">
        <f t="shared" si="1"/>
        <v>6672.5435098198213</v>
      </c>
      <c r="E19">
        <v>19</v>
      </c>
      <c r="G19">
        <f t="shared" si="2"/>
        <v>7259.8509620136483</v>
      </c>
      <c r="H19">
        <f t="shared" si="3"/>
        <v>8270.4535577331335</v>
      </c>
    </row>
    <row r="20" spans="1:8" x14ac:dyDescent="0.3">
      <c r="A20">
        <v>20</v>
      </c>
      <c r="C20">
        <f t="shared" si="0"/>
        <v>7863.5400388236312</v>
      </c>
      <c r="D20">
        <f t="shared" si="1"/>
        <v>6858.6714676746997</v>
      </c>
      <c r="E20">
        <v>20</v>
      </c>
      <c r="G20">
        <f t="shared" si="2"/>
        <v>7452.660285534489</v>
      </c>
      <c r="H20">
        <f t="shared" si="3"/>
        <v>8461.2096945995181</v>
      </c>
    </row>
    <row r="21" spans="1:8" x14ac:dyDescent="0.3">
      <c r="A21">
        <v>21</v>
      </c>
      <c r="C21">
        <f t="shared" si="0"/>
        <v>8048.1317672786899</v>
      </c>
      <c r="D21">
        <f t="shared" si="1"/>
        <v>7044.606900258621</v>
      </c>
      <c r="E21">
        <v>21</v>
      </c>
      <c r="G21">
        <f t="shared" si="2"/>
        <v>7645.4696090553298</v>
      </c>
      <c r="H21">
        <f t="shared" si="3"/>
        <v>8652.1735880283977</v>
      </c>
    </row>
    <row r="22" spans="1:8" x14ac:dyDescent="0.3">
      <c r="A22">
        <v>22</v>
      </c>
      <c r="C22">
        <f t="shared" si="0"/>
        <v>8232.7234957337496</v>
      </c>
      <c r="D22">
        <f t="shared" si="1"/>
        <v>7230.3490333187156</v>
      </c>
      <c r="E22">
        <v>22</v>
      </c>
      <c r="G22">
        <f t="shared" si="2"/>
        <v>7838.2789325761714</v>
      </c>
      <c r="H22">
        <f t="shared" si="3"/>
        <v>8843.3463824218652</v>
      </c>
    </row>
    <row r="23" spans="1:8" x14ac:dyDescent="0.3">
      <c r="A23">
        <v>23</v>
      </c>
      <c r="C23">
        <f t="shared" si="0"/>
        <v>8417.3152241888092</v>
      </c>
      <c r="D23">
        <f t="shared" si="1"/>
        <v>7415.8972006814238</v>
      </c>
      <c r="E23">
        <v>23</v>
      </c>
      <c r="G23">
        <f t="shared" si="2"/>
        <v>8031.0882560970113</v>
      </c>
      <c r="H23">
        <f t="shared" si="3"/>
        <v>9034.7290996774118</v>
      </c>
    </row>
    <row r="24" spans="1:8" x14ac:dyDescent="0.3">
      <c r="A24">
        <v>24</v>
      </c>
      <c r="C24">
        <f t="shared" si="0"/>
        <v>8601.906952643867</v>
      </c>
      <c r="D24">
        <f t="shared" si="1"/>
        <v>7601.2508461624866</v>
      </c>
      <c r="E24">
        <v>24</v>
      </c>
      <c r="G24">
        <f t="shared" si="2"/>
        <v>8223.8975796178529</v>
      </c>
      <c r="H24">
        <f t="shared" si="3"/>
        <v>9226.3226360537737</v>
      </c>
    </row>
    <row r="25" spans="1:8" x14ac:dyDescent="0.3">
      <c r="A25">
        <v>25</v>
      </c>
      <c r="C25">
        <f t="shared" si="0"/>
        <v>8786.4986810989267</v>
      </c>
      <c r="D25">
        <f t="shared" si="1"/>
        <v>7786.4095251728459</v>
      </c>
      <c r="E25">
        <v>25</v>
      </c>
      <c r="G25">
        <f t="shared" si="2"/>
        <v>8416.7069031386945</v>
      </c>
      <c r="H25">
        <f t="shared" si="3"/>
        <v>9418.1277593937812</v>
      </c>
    </row>
    <row r="26" spans="1:8" x14ac:dyDescent="0.3">
      <c r="A26">
        <v>26</v>
      </c>
      <c r="C26">
        <f t="shared" si="0"/>
        <v>8971.0904095539845</v>
      </c>
      <c r="D26">
        <f t="shared" si="1"/>
        <v>7971.3729060096903</v>
      </c>
      <c r="E26">
        <v>26</v>
      </c>
      <c r="G26">
        <f t="shared" si="2"/>
        <v>8609.5162266595344</v>
      </c>
      <c r="H26">
        <f t="shared" si="3"/>
        <v>9610.145106724025</v>
      </c>
    </row>
    <row r="27" spans="1:8" x14ac:dyDescent="0.3">
      <c r="A27">
        <v>27</v>
      </c>
      <c r="C27">
        <f t="shared" si="0"/>
        <v>9155.6821380090441</v>
      </c>
      <c r="D27">
        <f t="shared" si="1"/>
        <v>8156.140770823994</v>
      </c>
      <c r="E27">
        <v>27</v>
      </c>
      <c r="G27">
        <f t="shared" si="2"/>
        <v>8802.325550180376</v>
      </c>
      <c r="H27">
        <f t="shared" si="3"/>
        <v>9802.3751822486502</v>
      </c>
    </row>
    <row r="28" spans="1:8" x14ac:dyDescent="0.3">
      <c r="A28">
        <v>28</v>
      </c>
      <c r="C28">
        <f t="shared" si="0"/>
        <v>9340.2738664641038</v>
      </c>
      <c r="D28">
        <f t="shared" si="1"/>
        <v>8340.7130162579197</v>
      </c>
      <c r="E28">
        <v>28</v>
      </c>
      <c r="G28">
        <f t="shared" si="2"/>
        <v>8995.1348737012177</v>
      </c>
      <c r="H28">
        <f t="shared" si="3"/>
        <v>9994.8183557519096</v>
      </c>
    </row>
    <row r="29" spans="1:8" x14ac:dyDescent="0.3">
      <c r="A29">
        <v>29</v>
      </c>
      <c r="C29">
        <f t="shared" si="0"/>
        <v>9524.8655949191634</v>
      </c>
      <c r="D29">
        <f t="shared" si="1"/>
        <v>8525.0896537477965</v>
      </c>
      <c r="E29">
        <v>29</v>
      </c>
      <c r="G29">
        <f t="shared" si="2"/>
        <v>9187.9441972220575</v>
      </c>
      <c r="H29">
        <f t="shared" si="3"/>
        <v>10187.474861421228</v>
      </c>
    </row>
    <row r="30" spans="1:8" x14ac:dyDescent="0.3">
      <c r="A30">
        <v>30</v>
      </c>
      <c r="C30">
        <f t="shared" si="0"/>
        <v>9709.4573233742212</v>
      </c>
      <c r="D30">
        <f t="shared" si="1"/>
        <v>8709.2708094905865</v>
      </c>
      <c r="E30">
        <v>30</v>
      </c>
      <c r="G30">
        <f t="shared" si="2"/>
        <v>9380.7535207428991</v>
      </c>
      <c r="H30">
        <f t="shared" si="3"/>
        <v>10380.344797099493</v>
      </c>
    </row>
    <row r="31" spans="1:8" x14ac:dyDescent="0.3">
      <c r="A31">
        <v>31</v>
      </c>
      <c r="C31">
        <f t="shared" si="0"/>
        <v>9894.0490518292791</v>
      </c>
      <c r="D31">
        <f t="shared" si="1"/>
        <v>8893.2567240740464</v>
      </c>
      <c r="E31">
        <v>31</v>
      </c>
      <c r="G31">
        <f t="shared" si="2"/>
        <v>9573.562844263739</v>
      </c>
      <c r="H31">
        <f t="shared" si="3"/>
        <v>10573.428123972111</v>
      </c>
    </row>
    <row r="32" spans="1:8" x14ac:dyDescent="0.3">
      <c r="A32">
        <v>32</v>
      </c>
      <c r="C32">
        <f t="shared" si="0"/>
        <v>10078.640780284339</v>
      </c>
      <c r="D32">
        <f t="shared" si="1"/>
        <v>9077.0477517731561</v>
      </c>
      <c r="E32">
        <v>32</v>
      </c>
      <c r="G32">
        <f t="shared" si="2"/>
        <v>9766.3721677845806</v>
      </c>
      <c r="H32">
        <f t="shared" si="3"/>
        <v>10766.724666691207</v>
      </c>
    </row>
    <row r="33" spans="1:8" x14ac:dyDescent="0.3">
      <c r="A33">
        <v>33</v>
      </c>
      <c r="C33">
        <f t="shared" ref="C33:C64" si="4">4356.29719817751+(A33-1)*184.591728455059</f>
        <v>10263.232508739398</v>
      </c>
      <c r="D33">
        <f t="shared" ref="D33:D64" si="5">0+1*C33-986.286348792081*(1.02702702702703+(C33-9229.5945945946)^2/169505186.519289)^0.5</f>
        <v>9260.6443595175479</v>
      </c>
      <c r="E33">
        <v>33</v>
      </c>
      <c r="G33">
        <f t="shared" ref="G33:G64" si="6">3789.28313863851+(E33-1)*192.809323520841</f>
        <v>9959.1814913054222</v>
      </c>
      <c r="H33">
        <f t="shared" ref="H33:H64" si="7">0+1*G33+986.286348792081*(1.02702702702703+(G33-9229.5945945946)^2/169505186.519289)^0.5</f>
        <v>10960.234113935969</v>
      </c>
    </row>
    <row r="34" spans="1:8" x14ac:dyDescent="0.3">
      <c r="A34">
        <v>34</v>
      </c>
      <c r="C34">
        <f t="shared" si="4"/>
        <v>10447.824237194458</v>
      </c>
      <c r="D34">
        <f t="shared" si="5"/>
        <v>9444.0471255369848</v>
      </c>
      <c r="E34">
        <v>34</v>
      </c>
      <c r="G34">
        <f t="shared" si="6"/>
        <v>10151.990814826262</v>
      </c>
      <c r="H34">
        <f t="shared" si="7"/>
        <v>11153.956019405037</v>
      </c>
    </row>
    <row r="35" spans="1:8" x14ac:dyDescent="0.3">
      <c r="A35">
        <v>35</v>
      </c>
      <c r="C35">
        <f t="shared" si="4"/>
        <v>10632.415965649518</v>
      </c>
      <c r="D35">
        <f t="shared" si="5"/>
        <v>9627.2567376939805</v>
      </c>
      <c r="E35">
        <v>35</v>
      </c>
      <c r="G35">
        <f t="shared" si="6"/>
        <v>10344.800138347104</v>
      </c>
      <c r="H35">
        <f t="shared" si="7"/>
        <v>11347.889803233553</v>
      </c>
    </row>
    <row r="36" spans="1:8" x14ac:dyDescent="0.3">
      <c r="A36">
        <v>36</v>
      </c>
      <c r="C36">
        <f t="shared" si="4"/>
        <v>10817.007694104575</v>
      </c>
      <c r="D36">
        <f t="shared" si="5"/>
        <v>9810.2739915146849</v>
      </c>
      <c r="E36">
        <v>36</v>
      </c>
      <c r="G36">
        <f t="shared" si="6"/>
        <v>10537.609461867945</v>
      </c>
      <c r="H36">
        <f t="shared" si="7"/>
        <v>11542.034753824379</v>
      </c>
    </row>
    <row r="37" spans="1:8" x14ac:dyDescent="0.3">
      <c r="A37">
        <v>37</v>
      </c>
      <c r="C37">
        <f t="shared" si="4"/>
        <v>11001.599422559633</v>
      </c>
      <c r="D37">
        <f t="shared" si="5"/>
        <v>9993.0997879310635</v>
      </c>
      <c r="E37">
        <v>37</v>
      </c>
      <c r="G37">
        <f t="shared" si="6"/>
        <v>10730.418785388785</v>
      </c>
      <c r="H37">
        <f t="shared" si="7"/>
        <v>11736.390030080129</v>
      </c>
    </row>
    <row r="38" spans="1:8" x14ac:dyDescent="0.3">
      <c r="A38">
        <v>38</v>
      </c>
      <c r="C38">
        <f t="shared" si="4"/>
        <v>11186.191151014693</v>
      </c>
      <c r="D38">
        <f t="shared" si="5"/>
        <v>10175.735130749092</v>
      </c>
      <c r="E38">
        <v>38</v>
      </c>
      <c r="G38">
        <f t="shared" si="6"/>
        <v>10923.228108909627</v>
      </c>
      <c r="H38">
        <f t="shared" si="7"/>
        <v>11930.954664019826</v>
      </c>
    </row>
    <row r="39" spans="1:8" x14ac:dyDescent="0.3">
      <c r="A39">
        <v>39</v>
      </c>
      <c r="C39">
        <f t="shared" si="4"/>
        <v>11370.782879469753</v>
      </c>
      <c r="D39">
        <f t="shared" si="5"/>
        <v>10358.181123859255</v>
      </c>
      <c r="E39">
        <v>39</v>
      </c>
      <c r="G39">
        <f t="shared" si="6"/>
        <v>11116.037432430468</v>
      </c>
      <c r="H39">
        <f t="shared" si="7"/>
        <v>12125.727563761371</v>
      </c>
    </row>
    <row r="40" spans="1:8" x14ac:dyDescent="0.3">
      <c r="A40">
        <v>40</v>
      </c>
      <c r="C40">
        <f t="shared" si="4"/>
        <v>11555.374607924812</v>
      </c>
      <c r="D40">
        <f t="shared" si="5"/>
        <v>10540.438968207023</v>
      </c>
      <c r="E40">
        <v>40</v>
      </c>
      <c r="G40">
        <f t="shared" si="6"/>
        <v>11308.846755951308</v>
      </c>
      <c r="H40">
        <f t="shared" si="7"/>
        <v>12320.707516848823</v>
      </c>
    </row>
    <row r="41" spans="1:8" x14ac:dyDescent="0.3">
      <c r="A41">
        <v>41</v>
      </c>
      <c r="C41">
        <f t="shared" si="4"/>
        <v>11739.96633637987</v>
      </c>
      <c r="D41">
        <f t="shared" si="5"/>
        <v>10722.509958542138</v>
      </c>
      <c r="E41">
        <v>41</v>
      </c>
      <c r="G41">
        <f t="shared" si="6"/>
        <v>11501.65607947215</v>
      </c>
      <c r="H41">
        <f t="shared" si="7"/>
        <v>12515.893193901269</v>
      </c>
    </row>
    <row r="42" spans="1:8" x14ac:dyDescent="0.3">
      <c r="A42">
        <v>42</v>
      </c>
      <c r="C42">
        <f t="shared" si="4"/>
        <v>11924.55806483493</v>
      </c>
      <c r="D42">
        <f t="shared" si="5"/>
        <v>10904.395479966503</v>
      </c>
      <c r="E42">
        <v>42</v>
      </c>
      <c r="G42">
        <f t="shared" si="6"/>
        <v>11694.465402992992</v>
      </c>
      <c r="H42">
        <f t="shared" si="7"/>
        <v>12711.283152558393</v>
      </c>
    </row>
    <row r="43" spans="1:8" x14ac:dyDescent="0.3">
      <c r="A43">
        <v>43</v>
      </c>
      <c r="C43">
        <f t="shared" si="4"/>
        <v>12109.149793289987</v>
      </c>
      <c r="D43">
        <f t="shared" si="5"/>
        <v>11086.097004301262</v>
      </c>
      <c r="E43">
        <v>43</v>
      </c>
      <c r="G43">
        <f t="shared" si="6"/>
        <v>11887.274726513831</v>
      </c>
      <c r="H43">
        <f t="shared" si="7"/>
        <v>12906.875841696294</v>
      </c>
    </row>
    <row r="44" spans="1:8" x14ac:dyDescent="0.3">
      <c r="A44">
        <v>44</v>
      </c>
      <c r="C44">
        <f t="shared" si="4"/>
        <v>12293.741521745047</v>
      </c>
      <c r="D44">
        <f t="shared" si="5"/>
        <v>11267.616086294187</v>
      </c>
      <c r="E44">
        <v>44</v>
      </c>
      <c r="G44">
        <f t="shared" si="6"/>
        <v>12080.084050034673</v>
      </c>
      <c r="H44">
        <f t="shared" si="7"/>
        <v>13102.66960588598</v>
      </c>
    </row>
    <row r="45" spans="1:8" x14ac:dyDescent="0.3">
      <c r="A45">
        <v>45</v>
      </c>
      <c r="C45">
        <f t="shared" si="4"/>
        <v>12478.333250200107</v>
      </c>
      <c r="D45">
        <f t="shared" si="5"/>
        <v>11448.954359688816</v>
      </c>
      <c r="E45">
        <v>45</v>
      </c>
      <c r="G45">
        <f t="shared" si="6"/>
        <v>12272.893373555513</v>
      </c>
      <c r="H45">
        <f t="shared" si="7"/>
        <v>13298.662690066034</v>
      </c>
    </row>
    <row r="46" spans="1:8" x14ac:dyDescent="0.3">
      <c r="A46">
        <v>46</v>
      </c>
      <c r="C46">
        <f t="shared" si="4"/>
        <v>12662.924978655166</v>
      </c>
      <c r="D46">
        <f t="shared" si="5"/>
        <v>11630.113533176989</v>
      </c>
      <c r="E46">
        <v>46</v>
      </c>
      <c r="G46">
        <f t="shared" si="6"/>
        <v>12465.702697076355</v>
      </c>
      <c r="H46">
        <f t="shared" si="7"/>
        <v>13494.85324440047</v>
      </c>
    </row>
    <row r="47" spans="1:8" x14ac:dyDescent="0.3">
      <c r="A47">
        <v>47</v>
      </c>
      <c r="C47">
        <f t="shared" si="4"/>
        <v>12847.516707110224</v>
      </c>
      <c r="D47">
        <f t="shared" si="5"/>
        <v>11811.095386256289</v>
      </c>
      <c r="E47">
        <v>47</v>
      </c>
      <c r="G47">
        <f t="shared" si="6"/>
        <v>12658.512020597194</v>
      </c>
      <c r="H47">
        <f t="shared" si="7"/>
        <v>13691.239329292439</v>
      </c>
    </row>
    <row r="48" spans="1:8" x14ac:dyDescent="0.3">
      <c r="A48">
        <v>48</v>
      </c>
      <c r="C48">
        <f t="shared" si="4"/>
        <v>13032.108435565284</v>
      </c>
      <c r="D48">
        <f t="shared" si="5"/>
        <v>11991.901765013736</v>
      </c>
      <c r="E48">
        <v>48</v>
      </c>
      <c r="G48">
        <f t="shared" si="6"/>
        <v>12851.321344118036</v>
      </c>
      <c r="H48">
        <f t="shared" si="7"/>
        <v>13887.818920524585</v>
      </c>
    </row>
    <row r="49" spans="1:8" x14ac:dyDescent="0.3">
      <c r="A49">
        <v>49</v>
      </c>
      <c r="C49">
        <f t="shared" si="4"/>
        <v>13216.700164020343</v>
      </c>
      <c r="D49">
        <f t="shared" si="5"/>
        <v>12172.534577856593</v>
      </c>
      <c r="E49">
        <v>49</v>
      </c>
      <c r="G49">
        <f t="shared" si="6"/>
        <v>13044.130667638878</v>
      </c>
      <c r="H49">
        <f t="shared" si="7"/>
        <v>14084.589914497066</v>
      </c>
    </row>
    <row r="50" spans="1:8" x14ac:dyDescent="0.3">
      <c r="A50">
        <v>50</v>
      </c>
      <c r="C50">
        <f t="shared" si="4"/>
        <v>13401.291892475401</v>
      </c>
      <c r="D50">
        <f t="shared" si="5"/>
        <v>12352.995791210655</v>
      </c>
      <c r="E50">
        <v>50</v>
      </c>
      <c r="G50">
        <f t="shared" si="6"/>
        <v>13236.939991159717</v>
      </c>
      <c r="H50">
        <f t="shared" si="7"/>
        <v>14281.550133534902</v>
      </c>
    </row>
    <row r="51" spans="1:8" x14ac:dyDescent="0.3">
      <c r="A51">
        <v>51</v>
      </c>
      <c r="C51">
        <f t="shared" si="4"/>
        <v>13585.883620930461</v>
      </c>
      <c r="D51">
        <f t="shared" si="5"/>
        <v>12533.287425205588</v>
      </c>
      <c r="E51">
        <v>51</v>
      </c>
      <c r="G51">
        <f t="shared" si="6"/>
        <v>13429.749314680559</v>
      </c>
      <c r="H51">
        <f t="shared" si="7"/>
        <v>14478.697331237063</v>
      </c>
    </row>
    <row r="52" spans="1:8" x14ac:dyDescent="0.3">
      <c r="A52">
        <v>52</v>
      </c>
      <c r="C52">
        <f t="shared" si="4"/>
        <v>13770.475349385519</v>
      </c>
      <c r="D52">
        <f t="shared" si="5"/>
        <v>12713.411549366092</v>
      </c>
      <c r="E52">
        <v>52</v>
      </c>
      <c r="G52">
        <f t="shared" si="6"/>
        <v>13622.558638201401</v>
      </c>
      <c r="H52">
        <f t="shared" si="7"/>
        <v>14676.029197840766</v>
      </c>
    </row>
    <row r="53" spans="1:8" x14ac:dyDescent="0.3">
      <c r="A53">
        <v>53</v>
      </c>
      <c r="C53">
        <f t="shared" si="4"/>
        <v>13955.067077840578</v>
      </c>
      <c r="D53">
        <f t="shared" si="5"/>
        <v>12893.370278326716</v>
      </c>
      <c r="E53">
        <v>53</v>
      </c>
      <c r="G53">
        <f t="shared" si="6"/>
        <v>13815.367961722241</v>
      </c>
      <c r="H53">
        <f t="shared" si="7"/>
        <v>14873.543365575619</v>
      </c>
    </row>
    <row r="54" spans="1:8" x14ac:dyDescent="0.3">
      <c r="A54">
        <v>54</v>
      </c>
      <c r="C54">
        <f t="shared" si="4"/>
        <v>14139.658806295638</v>
      </c>
      <c r="D54">
        <f t="shared" si="5"/>
        <v>13073.165767587054</v>
      </c>
      <c r="E54">
        <v>54</v>
      </c>
      <c r="G54">
        <f t="shared" si="6"/>
        <v>14008.177285243082</v>
      </c>
      <c r="H54">
        <f t="shared" si="7"/>
        <v>15071.237413983679</v>
      </c>
    </row>
    <row r="55" spans="1:8" x14ac:dyDescent="0.3">
      <c r="A55">
        <v>55</v>
      </c>
      <c r="C55">
        <f t="shared" si="4"/>
        <v>14324.250534750696</v>
      </c>
      <c r="D55">
        <f t="shared" si="5"/>
        <v>13252.800209322964</v>
      </c>
      <c r="E55">
        <v>55</v>
      </c>
      <c r="G55">
        <f t="shared" si="6"/>
        <v>14200.986608763924</v>
      </c>
      <c r="H55">
        <f t="shared" si="7"/>
        <v>15269.108875182905</v>
      </c>
    </row>
    <row r="56" spans="1:8" x14ac:dyDescent="0.3">
      <c r="A56">
        <v>56</v>
      </c>
      <c r="C56">
        <f t="shared" si="4"/>
        <v>14508.842263205755</v>
      </c>
      <c r="D56">
        <f t="shared" si="5"/>
        <v>13432.275828268299</v>
      </c>
      <c r="E56">
        <v>56</v>
      </c>
      <c r="G56">
        <f t="shared" si="6"/>
        <v>14393.795932284764</v>
      </c>
      <c r="H56">
        <f t="shared" si="7"/>
        <v>15467.155239053191</v>
      </c>
    </row>
    <row r="57" spans="1:8" x14ac:dyDescent="0.3">
      <c r="A57">
        <v>57</v>
      </c>
      <c r="C57">
        <f t="shared" si="4"/>
        <v>14693.433991660815</v>
      </c>
      <c r="D57">
        <f t="shared" si="5"/>
        <v>13611.594877680311</v>
      </c>
      <c r="E57">
        <v>57</v>
      </c>
      <c r="G57">
        <f t="shared" si="6"/>
        <v>14586.605255805605</v>
      </c>
      <c r="H57">
        <f t="shared" si="7"/>
        <v>15665.373958325801</v>
      </c>
    </row>
    <row r="58" spans="1:8" x14ac:dyDescent="0.3">
      <c r="A58">
        <v>58</v>
      </c>
      <c r="C58">
        <f t="shared" si="4"/>
        <v>14878.025720115873</v>
      </c>
      <c r="D58">
        <f t="shared" si="5"/>
        <v>13790.75963540076</v>
      </c>
      <c r="E58">
        <v>58</v>
      </c>
      <c r="G58">
        <f t="shared" si="6"/>
        <v>14779.414579326447</v>
      </c>
      <c r="H58">
        <f t="shared" si="7"/>
        <v>15863.762453558764</v>
      </c>
    </row>
    <row r="59" spans="1:8" x14ac:dyDescent="0.3">
      <c r="A59">
        <v>59</v>
      </c>
      <c r="C59">
        <f t="shared" si="4"/>
        <v>15062.617448570933</v>
      </c>
      <c r="D59">
        <f t="shared" si="5"/>
        <v>13969.772400023441</v>
      </c>
      <c r="E59">
        <v>59</v>
      </c>
      <c r="G59">
        <f t="shared" si="6"/>
        <v>14972.223902847287</v>
      </c>
      <c r="H59">
        <f t="shared" si="7"/>
        <v>16062.318117982619</v>
      </c>
    </row>
    <row r="60" spans="1:8" x14ac:dyDescent="0.3">
      <c r="A60">
        <v>60</v>
      </c>
      <c r="C60">
        <f t="shared" si="4"/>
        <v>15247.209177025992</v>
      </c>
      <c r="D60">
        <f t="shared" si="5"/>
        <v>14148.635487177546</v>
      </c>
      <c r="E60">
        <v>60</v>
      </c>
      <c r="G60">
        <f t="shared" si="6"/>
        <v>15165.033226368128</v>
      </c>
      <c r="H60">
        <f t="shared" si="7"/>
        <v>16261.038322202639</v>
      </c>
    </row>
    <row r="61" spans="1:8" x14ac:dyDescent="0.3">
      <c r="A61">
        <v>61</v>
      </c>
      <c r="C61">
        <f t="shared" si="4"/>
        <v>15431.80090548105</v>
      </c>
      <c r="D61">
        <f t="shared" si="5"/>
        <v>14327.351225935112</v>
      </c>
      <c r="E61">
        <v>61</v>
      </c>
      <c r="G61">
        <f t="shared" si="6"/>
        <v>15357.842549888968</v>
      </c>
      <c r="H61">
        <f t="shared" si="7"/>
        <v>16459.920418745452</v>
      </c>
    </row>
    <row r="62" spans="1:8" x14ac:dyDescent="0.3">
      <c r="A62">
        <v>62</v>
      </c>
      <c r="C62">
        <f t="shared" si="4"/>
        <v>15616.39263393611</v>
      </c>
      <c r="D62">
        <f t="shared" si="5"/>
        <v>14505.921955349571</v>
      </c>
      <c r="E62">
        <v>62</v>
      </c>
      <c r="G62">
        <f t="shared" si="6"/>
        <v>15550.65187340981</v>
      </c>
      <c r="H62">
        <f t="shared" si="7"/>
        <v>16658.961746439738</v>
      </c>
    </row>
    <row r="63" spans="1:8" x14ac:dyDescent="0.3">
      <c r="A63">
        <v>63</v>
      </c>
      <c r="C63">
        <f t="shared" si="4"/>
        <v>15800.984362391169</v>
      </c>
      <c r="D63">
        <f t="shared" si="5"/>
        <v>14684.350021131149</v>
      </c>
      <c r="E63">
        <v>63</v>
      </c>
      <c r="G63">
        <f t="shared" si="6"/>
        <v>15743.461196930652</v>
      </c>
      <c r="H63">
        <f t="shared" si="7"/>
        <v>16858.159634622349</v>
      </c>
    </row>
    <row r="64" spans="1:8" x14ac:dyDescent="0.3">
      <c r="A64">
        <v>64</v>
      </c>
      <c r="C64">
        <f t="shared" si="4"/>
        <v>15985.576090846227</v>
      </c>
      <c r="D64">
        <f t="shared" si="5"/>
        <v>14862.637772463879</v>
      </c>
      <c r="E64">
        <v>64</v>
      </c>
      <c r="G64">
        <f t="shared" si="6"/>
        <v>15936.270520451491</v>
      </c>
      <c r="H64">
        <f t="shared" si="7"/>
        <v>17057.511407162878</v>
      </c>
    </row>
    <row r="65" spans="1:8" x14ac:dyDescent="0.3">
      <c r="A65">
        <v>65</v>
      </c>
      <c r="C65">
        <f t="shared" ref="C65:C70" si="8">4356.29719817751+(A65-1)*184.591728455059</f>
        <v>16170.167819301287</v>
      </c>
      <c r="D65">
        <f t="shared" ref="D65:D70" si="9">0+1*C65-986.286348792081*(1.02702702702703+(C65-9229.5945945946)^2/169505186.519289)^0.5</f>
        <v>15040.787558967779</v>
      </c>
      <c r="E65">
        <v>65</v>
      </c>
      <c r="G65">
        <f t="shared" ref="G65:G70" si="10">3789.28313863851+(E65-1)*192.809323520841</f>
        <v>16129.079843972333</v>
      </c>
      <c r="H65">
        <f t="shared" ref="H65:H70" si="11">0+1*G65+986.286348792081*(1.02702702702703+(G65-9229.5945945946)^2/169505186.519289)^0.5</f>
        <v>17257.014386301227</v>
      </c>
    </row>
    <row r="66" spans="1:8" x14ac:dyDescent="0.3">
      <c r="A66">
        <v>66</v>
      </c>
      <c r="C66">
        <f t="shared" si="8"/>
        <v>16354.759547756346</v>
      </c>
      <c r="D66">
        <f t="shared" si="9"/>
        <v>15218.801727808783</v>
      </c>
      <c r="E66">
        <v>66</v>
      </c>
      <c r="G66">
        <f t="shared" si="10"/>
        <v>16321.889167493175</v>
      </c>
      <c r="H66">
        <f t="shared" si="11"/>
        <v>17456.665896294209</v>
      </c>
    </row>
    <row r="67" spans="1:8" x14ac:dyDescent="0.3">
      <c r="A67">
        <v>67</v>
      </c>
      <c r="C67">
        <f t="shared" si="8"/>
        <v>16539.351276211404</v>
      </c>
      <c r="D67">
        <f t="shared" si="9"/>
        <v>15396.682620958061</v>
      </c>
      <c r="E67">
        <v>67</v>
      </c>
      <c r="G67">
        <f t="shared" si="10"/>
        <v>16514.698491014016</v>
      </c>
      <c r="H67">
        <f t="shared" si="11"/>
        <v>17656.463266868657</v>
      </c>
    </row>
    <row r="68" spans="1:8" x14ac:dyDescent="0.3">
      <c r="A68">
        <v>68</v>
      </c>
      <c r="C68">
        <f t="shared" si="8"/>
        <v>16723.943004666464</v>
      </c>
      <c r="D68">
        <f t="shared" si="9"/>
        <v>15574.432572601414</v>
      </c>
      <c r="E68">
        <v>68</v>
      </c>
      <c r="G68">
        <f t="shared" si="10"/>
        <v>16707.507814534856</v>
      </c>
      <c r="H68">
        <f t="shared" si="11"/>
        <v>17856.403836479727</v>
      </c>
    </row>
    <row r="69" spans="1:8" x14ac:dyDescent="0.3">
      <c r="A69">
        <v>69</v>
      </c>
      <c r="C69">
        <f t="shared" si="8"/>
        <v>16908.534733121523</v>
      </c>
      <c r="D69">
        <f t="shared" si="9"/>
        <v>15752.053906698664</v>
      </c>
      <c r="E69">
        <v>69</v>
      </c>
      <c r="G69">
        <f t="shared" si="10"/>
        <v>16900.3171380557</v>
      </c>
      <c r="H69">
        <f t="shared" si="11"/>
        <v>18056.484955374377</v>
      </c>
    </row>
    <row r="70" spans="1:8" x14ac:dyDescent="0.3">
      <c r="A70">
        <v>70</v>
      </c>
      <c r="C70">
        <f t="shared" si="8"/>
        <v>17093.126461576583</v>
      </c>
      <c r="D70">
        <f t="shared" si="9"/>
        <v>15929.548934692169</v>
      </c>
      <c r="E70">
        <v>70</v>
      </c>
      <c r="G70">
        <f t="shared" si="10"/>
        <v>17093.126461576539</v>
      </c>
      <c r="H70">
        <f t="shared" si="11"/>
        <v>18256.703988460951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83B77-8687-415D-934E-941675CF0F90}">
  <sheetPr codeName="XLSTAT_20211005_101545_1_HID"/>
  <dimension ref="A1:H70"/>
  <sheetViews>
    <sheetView workbookViewId="0"/>
  </sheetViews>
  <sheetFormatPr baseColWidth="10" defaultColWidth="8.88671875" defaultRowHeight="14.4" x14ac:dyDescent="0.3"/>
  <sheetData>
    <row r="1" spans="1:8" x14ac:dyDescent="0.3">
      <c r="A1">
        <v>1</v>
      </c>
      <c r="C1">
        <f t="shared" ref="C1:C32" si="0">4367.04744594245+(A1-1)*184.290858311371</f>
        <v>4367.0474459424504</v>
      </c>
      <c r="D1">
        <f t="shared" ref="D1:D32" si="1">0+1*C1-999.744464996232*(1.02702702702703+(C1-9229.5945945946)^2/169551897.337805)^0.5</f>
        <v>3287.2868100445348</v>
      </c>
      <c r="E1">
        <v>1</v>
      </c>
      <c r="G1">
        <f t="shared" ref="G1:G32" si="2">3797.29589865899+(E1-1)*192.548127112581</f>
        <v>3797.2958986589902</v>
      </c>
      <c r="H1">
        <f t="shared" ref="H1:H32" si="3">0+1*G1+999.744464996232*(1.02702702702703+(G1-9229.5945945946)^2/169551897.337805)^0.5</f>
        <v>4892.950728648083</v>
      </c>
    </row>
    <row r="2" spans="1:8" x14ac:dyDescent="0.3">
      <c r="A2">
        <v>2</v>
      </c>
      <c r="C2">
        <f t="shared" si="0"/>
        <v>4551.3383042538217</v>
      </c>
      <c r="D2">
        <f t="shared" si="1"/>
        <v>3476.38800075273</v>
      </c>
      <c r="E2">
        <v>2</v>
      </c>
      <c r="G2">
        <f t="shared" si="2"/>
        <v>3989.8440257715711</v>
      </c>
      <c r="H2">
        <f t="shared" si="3"/>
        <v>5079.9569585498884</v>
      </c>
    </row>
    <row r="3" spans="1:8" x14ac:dyDescent="0.3">
      <c r="A3">
        <v>3</v>
      </c>
      <c r="C3">
        <f t="shared" si="0"/>
        <v>4735.629162565192</v>
      </c>
      <c r="D3">
        <f t="shared" si="1"/>
        <v>3665.3237404721353</v>
      </c>
      <c r="E3">
        <v>3</v>
      </c>
      <c r="G3">
        <f t="shared" si="2"/>
        <v>4182.392152884152</v>
      </c>
      <c r="H3">
        <f t="shared" si="3"/>
        <v>5267.1363665641493</v>
      </c>
    </row>
    <row r="4" spans="1:8" x14ac:dyDescent="0.3">
      <c r="A4">
        <v>4</v>
      </c>
      <c r="C4">
        <f t="shared" si="0"/>
        <v>4919.9200208765633</v>
      </c>
      <c r="D4">
        <f t="shared" si="1"/>
        <v>3854.0918660932543</v>
      </c>
      <c r="E4">
        <v>4</v>
      </c>
      <c r="G4">
        <f t="shared" si="2"/>
        <v>4374.9402799967329</v>
      </c>
      <c r="H4">
        <f t="shared" si="3"/>
        <v>5454.4915363914915</v>
      </c>
    </row>
    <row r="5" spans="1:8" x14ac:dyDescent="0.3">
      <c r="A5">
        <v>5</v>
      </c>
      <c r="C5">
        <f t="shared" si="0"/>
        <v>5104.2108791879346</v>
      </c>
      <c r="D5">
        <f t="shared" si="1"/>
        <v>4042.6902567325442</v>
      </c>
      <c r="E5">
        <v>5</v>
      </c>
      <c r="G5">
        <f t="shared" si="2"/>
        <v>4567.4884071093138</v>
      </c>
      <c r="H5">
        <f t="shared" si="3"/>
        <v>5642.0250162689726</v>
      </c>
    </row>
    <row r="6" spans="1:8" x14ac:dyDescent="0.3">
      <c r="A6">
        <v>6</v>
      </c>
      <c r="C6">
        <f t="shared" si="0"/>
        <v>5288.5017374993058</v>
      </c>
      <c r="D6">
        <f t="shared" si="1"/>
        <v>4231.1168380092213</v>
      </c>
      <c r="E6">
        <v>6</v>
      </c>
      <c r="G6">
        <f t="shared" si="2"/>
        <v>4760.0365342218956</v>
      </c>
      <c r="H6">
        <f t="shared" si="3"/>
        <v>5829.7393138923744</v>
      </c>
    </row>
    <row r="7" spans="1:8" x14ac:dyDescent="0.3">
      <c r="A7">
        <v>7</v>
      </c>
      <c r="C7">
        <f t="shared" si="0"/>
        <v>5472.7925958106762</v>
      </c>
      <c r="D7">
        <f t="shared" si="1"/>
        <v>4419.3695863583853</v>
      </c>
      <c r="E7">
        <v>7</v>
      </c>
      <c r="G7">
        <f t="shared" si="2"/>
        <v>4952.5846613344766</v>
      </c>
      <c r="H7">
        <f t="shared" si="3"/>
        <v>6017.6368912343678</v>
      </c>
    </row>
    <row r="8" spans="1:8" x14ac:dyDescent="0.3">
      <c r="A8">
        <v>8</v>
      </c>
      <c r="C8">
        <f t="shared" si="0"/>
        <v>5657.0834541220474</v>
      </c>
      <c r="D8">
        <f t="shared" si="1"/>
        <v>4607.4465333634089</v>
      </c>
      <c r="E8">
        <v>8</v>
      </c>
      <c r="G8">
        <f t="shared" si="2"/>
        <v>5145.1327884470575</v>
      </c>
      <c r="H8">
        <f t="shared" si="3"/>
        <v>6205.7201592771498</v>
      </c>
    </row>
    <row r="9" spans="1:8" x14ac:dyDescent="0.3">
      <c r="A9">
        <v>9</v>
      </c>
      <c r="C9">
        <f t="shared" si="0"/>
        <v>5841.3743124334187</v>
      </c>
      <c r="D9">
        <f t="shared" si="1"/>
        <v>4795.3457700895096</v>
      </c>
      <c r="E9">
        <v>9</v>
      </c>
      <c r="G9">
        <f t="shared" si="2"/>
        <v>5337.6809155596384</v>
      </c>
      <c r="H9">
        <f t="shared" si="3"/>
        <v>6393.9914726797579</v>
      </c>
    </row>
    <row r="10" spans="1:8" x14ac:dyDescent="0.3">
      <c r="A10">
        <v>10</v>
      </c>
      <c r="C10">
        <f t="shared" si="0"/>
        <v>6025.6651707447891</v>
      </c>
      <c r="D10">
        <f t="shared" si="1"/>
        <v>4983.0654513995087</v>
      </c>
      <c r="E10">
        <v>10</v>
      </c>
      <c r="G10">
        <f t="shared" si="2"/>
        <v>5530.2290426722193</v>
      </c>
      <c r="H10">
        <f t="shared" si="3"/>
        <v>6582.4531244020191</v>
      </c>
    </row>
    <row r="11" spans="1:8" x14ac:dyDescent="0.3">
      <c r="A11">
        <v>11</v>
      </c>
      <c r="C11">
        <f t="shared" si="0"/>
        <v>6209.9560290561603</v>
      </c>
      <c r="D11">
        <f t="shared" si="1"/>
        <v>5170.6038002319365</v>
      </c>
      <c r="E11">
        <v>11</v>
      </c>
      <c r="G11">
        <f t="shared" si="2"/>
        <v>5722.7771697848002</v>
      </c>
      <c r="H11">
        <f t="shared" si="3"/>
        <v>6771.1073403085702</v>
      </c>
    </row>
    <row r="12" spans="1:8" x14ac:dyDescent="0.3">
      <c r="A12">
        <v>12</v>
      </c>
      <c r="C12">
        <f t="shared" si="0"/>
        <v>6394.2468873675316</v>
      </c>
      <c r="D12">
        <f t="shared" si="1"/>
        <v>5357.9591118209919</v>
      </c>
      <c r="E12">
        <v>12</v>
      </c>
      <c r="G12">
        <f t="shared" si="2"/>
        <v>5915.3252968973811</v>
      </c>
      <c r="H12">
        <f t="shared" si="3"/>
        <v>6959.9562737778506</v>
      </c>
    </row>
    <row r="13" spans="1:8" x14ac:dyDescent="0.3">
      <c r="A13">
        <v>13</v>
      </c>
      <c r="C13">
        <f t="shared" si="0"/>
        <v>6578.5377456789029</v>
      </c>
      <c r="D13">
        <f t="shared" si="1"/>
        <v>5545.1297578373151</v>
      </c>
      <c r="E13">
        <v>13</v>
      </c>
      <c r="G13">
        <f t="shared" si="2"/>
        <v>6107.873424009962</v>
      </c>
      <c r="H13">
        <f t="shared" si="3"/>
        <v>7149.0020003422351</v>
      </c>
    </row>
    <row r="14" spans="1:8" x14ac:dyDescent="0.3">
      <c r="A14">
        <v>14</v>
      </c>
      <c r="C14">
        <f t="shared" si="0"/>
        <v>6762.8286039902741</v>
      </c>
      <c r="D14">
        <f t="shared" si="1"/>
        <v>5732.1141904281594</v>
      </c>
      <c r="E14">
        <v>14</v>
      </c>
      <c r="G14">
        <f t="shared" si="2"/>
        <v>6300.421551122543</v>
      </c>
      <c r="H14">
        <f t="shared" si="3"/>
        <v>7338.2465123865613</v>
      </c>
    </row>
    <row r="15" spans="1:8" x14ac:dyDescent="0.3">
      <c r="A15">
        <v>15</v>
      </c>
      <c r="C15">
        <f t="shared" si="0"/>
        <v>6947.1194623016445</v>
      </c>
      <c r="D15">
        <f t="shared" si="1"/>
        <v>5918.9109461353582</v>
      </c>
      <c r="E15">
        <v>15</v>
      </c>
      <c r="G15">
        <f t="shared" si="2"/>
        <v>6492.9696782351239</v>
      </c>
      <c r="H15">
        <f t="shared" si="3"/>
        <v>7527.6917139332281</v>
      </c>
    </row>
    <row r="16" spans="1:8" x14ac:dyDescent="0.3">
      <c r="A16">
        <v>16</v>
      </c>
      <c r="C16">
        <f t="shared" si="0"/>
        <v>7131.4103206130158</v>
      </c>
      <c r="D16">
        <f t="shared" si="1"/>
        <v>6105.518649669466</v>
      </c>
      <c r="E16">
        <v>16</v>
      </c>
      <c r="G16">
        <f t="shared" si="2"/>
        <v>6685.5178053477048</v>
      </c>
      <c r="H16">
        <f t="shared" si="3"/>
        <v>7717.3394155426886</v>
      </c>
    </row>
    <row r="17" spans="1:8" x14ac:dyDescent="0.3">
      <c r="A17">
        <v>17</v>
      </c>
      <c r="C17">
        <f t="shared" si="0"/>
        <v>7315.7011789243861</v>
      </c>
      <c r="D17">
        <f t="shared" si="1"/>
        <v>6291.9360175186503</v>
      </c>
      <c r="E17">
        <v>17</v>
      </c>
      <c r="G17">
        <f t="shared" si="2"/>
        <v>6878.0659324602857</v>
      </c>
      <c r="H17">
        <f t="shared" si="3"/>
        <v>7907.1913293585858</v>
      </c>
    </row>
    <row r="18" spans="1:8" x14ac:dyDescent="0.3">
      <c r="A18">
        <v>18</v>
      </c>
      <c r="C18">
        <f t="shared" si="0"/>
        <v>7499.9920372357574</v>
      </c>
      <c r="D18">
        <f t="shared" si="1"/>
        <v>6478.1618613713117</v>
      </c>
      <c r="E18">
        <v>18</v>
      </c>
      <c r="G18">
        <f t="shared" si="2"/>
        <v>7070.6140595728666</v>
      </c>
      <c r="H18">
        <f t="shared" si="3"/>
        <v>8097.2490643269275</v>
      </c>
    </row>
    <row r="19" spans="1:8" x14ac:dyDescent="0.3">
      <c r="A19">
        <v>19</v>
      </c>
      <c r="C19">
        <f t="shared" si="0"/>
        <v>7684.2828955471286</v>
      </c>
      <c r="D19">
        <f t="shared" si="1"/>
        <v>6664.1950913319697</v>
      </c>
      <c r="E19">
        <v>19</v>
      </c>
      <c r="G19">
        <f t="shared" si="2"/>
        <v>7263.1621866854475</v>
      </c>
      <c r="H19">
        <f t="shared" si="3"/>
        <v>8287.5141216185693</v>
      </c>
    </row>
    <row r="20" spans="1:8" x14ac:dyDescent="0.3">
      <c r="A20">
        <v>20</v>
      </c>
      <c r="C20">
        <f t="shared" si="0"/>
        <v>7868.5737538584999</v>
      </c>
      <c r="D20">
        <f t="shared" si="1"/>
        <v>6850.034718910827</v>
      </c>
      <c r="E20">
        <v>20</v>
      </c>
      <c r="G20">
        <f t="shared" si="2"/>
        <v>7455.7103137980293</v>
      </c>
      <c r="H20">
        <f t="shared" si="3"/>
        <v>8477.9878902838209</v>
      </c>
    </row>
    <row r="21" spans="1:8" x14ac:dyDescent="0.3">
      <c r="A21">
        <v>21</v>
      </c>
      <c r="C21">
        <f t="shared" si="0"/>
        <v>8052.8646121698712</v>
      </c>
      <c r="D21">
        <f t="shared" si="1"/>
        <v>7035.6798597683928</v>
      </c>
      <c r="E21">
        <v>21</v>
      </c>
      <c r="G21">
        <f t="shared" si="2"/>
        <v>7648.2584409106103</v>
      </c>
      <c r="H21">
        <f t="shared" si="3"/>
        <v>8668.6716431672612</v>
      </c>
    </row>
    <row r="22" spans="1:8" x14ac:dyDescent="0.3">
      <c r="A22">
        <v>22</v>
      </c>
      <c r="C22">
        <f t="shared" si="0"/>
        <v>8237.1554704812406</v>
      </c>
      <c r="D22">
        <f t="shared" si="1"/>
        <v>7221.1297361977686</v>
      </c>
      <c r="E22">
        <v>22</v>
      </c>
      <c r="G22">
        <f t="shared" si="2"/>
        <v>7840.8065680231912</v>
      </c>
      <c r="H22">
        <f t="shared" si="3"/>
        <v>8859.5665331097916</v>
      </c>
    </row>
    <row r="23" spans="1:8" x14ac:dyDescent="0.3">
      <c r="A23">
        <v>23</v>
      </c>
      <c r="C23">
        <f t="shared" si="0"/>
        <v>8421.4463287926119</v>
      </c>
      <c r="D23">
        <f t="shared" si="1"/>
        <v>7406.3836793286646</v>
      </c>
      <c r="E23">
        <v>23</v>
      </c>
      <c r="G23">
        <f t="shared" si="2"/>
        <v>8033.3546951357721</v>
      </c>
      <c r="H23">
        <f t="shared" si="3"/>
        <v>9050.673589463604</v>
      </c>
    </row>
    <row r="24" spans="1:8" x14ac:dyDescent="0.3">
      <c r="A24">
        <v>24</v>
      </c>
      <c r="C24">
        <f t="shared" si="0"/>
        <v>8605.7371871039832</v>
      </c>
      <c r="D24">
        <f t="shared" si="1"/>
        <v>7591.441131038715</v>
      </c>
      <c r="E24">
        <v>24</v>
      </c>
      <c r="G24">
        <f t="shared" si="2"/>
        <v>8225.9028222483539</v>
      </c>
      <c r="H24">
        <f t="shared" si="3"/>
        <v>9241.9937149440466</v>
      </c>
    </row>
    <row r="25" spans="1:8" x14ac:dyDescent="0.3">
      <c r="A25">
        <v>25</v>
      </c>
      <c r="C25">
        <f t="shared" si="0"/>
        <v>8790.0280454153544</v>
      </c>
      <c r="D25">
        <f t="shared" si="1"/>
        <v>7776.3016455595362</v>
      </c>
      <c r="E25">
        <v>25</v>
      </c>
      <c r="G25">
        <f t="shared" si="2"/>
        <v>8418.450949360933</v>
      </c>
      <c r="H25">
        <f t="shared" si="3"/>
        <v>9433.5276828404403</v>
      </c>
    </row>
    <row r="26" spans="1:8" x14ac:dyDescent="0.3">
      <c r="A26">
        <v>26</v>
      </c>
      <c r="C26">
        <f t="shared" si="0"/>
        <v>8974.3189037267257</v>
      </c>
      <c r="D26">
        <f t="shared" si="1"/>
        <v>7960.9648907667888</v>
      </c>
      <c r="E26">
        <v>26</v>
      </c>
      <c r="G26">
        <f t="shared" si="2"/>
        <v>8610.9990764735157</v>
      </c>
      <c r="H26">
        <f t="shared" si="3"/>
        <v>9625.2761346057105</v>
      </c>
    </row>
    <row r="27" spans="1:8" x14ac:dyDescent="0.3">
      <c r="A27">
        <v>27</v>
      </c>
      <c r="C27">
        <f t="shared" si="0"/>
        <v>9158.609762038097</v>
      </c>
      <c r="D27">
        <f t="shared" si="1"/>
        <v>8145.4306491455809</v>
      </c>
      <c r="E27">
        <v>27</v>
      </c>
      <c r="G27">
        <f t="shared" si="2"/>
        <v>8803.5472035860948</v>
      </c>
      <c r="H27">
        <f t="shared" si="3"/>
        <v>9817.2395778420832</v>
      </c>
    </row>
    <row r="28" spans="1:8" x14ac:dyDescent="0.3">
      <c r="A28">
        <v>28</v>
      </c>
      <c r="C28">
        <f t="shared" si="0"/>
        <v>9342.9006203494682</v>
      </c>
      <c r="D28">
        <f t="shared" si="1"/>
        <v>8329.6988184246911</v>
      </c>
      <c r="E28">
        <v>28</v>
      </c>
      <c r="G28">
        <f t="shared" si="2"/>
        <v>8996.0953306986776</v>
      </c>
      <c r="H28">
        <f t="shared" si="3"/>
        <v>10009.41838469763</v>
      </c>
    </row>
    <row r="29" spans="1:8" x14ac:dyDescent="0.3">
      <c r="A29">
        <v>29</v>
      </c>
      <c r="C29">
        <f t="shared" si="0"/>
        <v>9527.1914786608395</v>
      </c>
      <c r="D29">
        <f t="shared" si="1"/>
        <v>8513.7694118753116</v>
      </c>
      <c r="E29">
        <v>29</v>
      </c>
      <c r="G29">
        <f t="shared" si="2"/>
        <v>9188.6434578112585</v>
      </c>
      <c r="H29">
        <f t="shared" si="3"/>
        <v>10201.812790685262</v>
      </c>
    </row>
    <row r="30" spans="1:8" x14ac:dyDescent="0.3">
      <c r="A30">
        <v>30</v>
      </c>
      <c r="C30">
        <f t="shared" si="0"/>
        <v>9711.4823369722108</v>
      </c>
      <c r="D30">
        <f t="shared" si="1"/>
        <v>8697.6425582722532</v>
      </c>
      <c r="E30">
        <v>30</v>
      </c>
      <c r="G30">
        <f t="shared" si="2"/>
        <v>9381.1915849238394</v>
      </c>
      <c r="H30">
        <f t="shared" si="3"/>
        <v>10394.42289393305</v>
      </c>
    </row>
    <row r="31" spans="1:8" x14ac:dyDescent="0.3">
      <c r="A31">
        <v>31</v>
      </c>
      <c r="C31">
        <f t="shared" si="0"/>
        <v>9895.773195283582</v>
      </c>
      <c r="D31">
        <f t="shared" si="1"/>
        <v>8881.3185015179133</v>
      </c>
      <c r="E31">
        <v>31</v>
      </c>
      <c r="G31">
        <f t="shared" si="2"/>
        <v>9573.7397120364203</v>
      </c>
      <c r="H31">
        <f t="shared" si="3"/>
        <v>10587.24865487129</v>
      </c>
    </row>
    <row r="32" spans="1:8" x14ac:dyDescent="0.3">
      <c r="A32">
        <v>32</v>
      </c>
      <c r="C32">
        <f t="shared" si="0"/>
        <v>10080.064053594951</v>
      </c>
      <c r="D32">
        <f t="shared" si="1"/>
        <v>9064.7975999315277</v>
      </c>
      <c r="E32">
        <v>32</v>
      </c>
      <c r="G32">
        <f t="shared" si="2"/>
        <v>9766.2878391490012</v>
      </c>
      <c r="H32">
        <f t="shared" si="3"/>
        <v>10780.289896358732</v>
      </c>
    </row>
    <row r="33" spans="1:8" x14ac:dyDescent="0.3">
      <c r="A33">
        <v>33</v>
      </c>
      <c r="C33">
        <f t="shared" ref="C33:C64" si="4">4367.04744594245+(A33-1)*184.290858311371</f>
        <v>10264.354911906323</v>
      </c>
      <c r="D33">
        <f t="shared" ref="D33:D64" si="5">0+1*C33-999.744464996232*(1.02702702702703+(C33-9229.5945945946)^2/169551897.337805)^0.5</f>
        <v>9248.0803252085643</v>
      </c>
      <c r="E33">
        <v>33</v>
      </c>
      <c r="G33">
        <f t="shared" ref="G33:G64" si="6">3797.29589865899+(E33-1)*192.548127112581</f>
        <v>9958.8359662615821</v>
      </c>
      <c r="H33">
        <f t="shared" ref="H33:H64" si="7">0+1*G33+999.744464996232*(1.02702702702703+(G33-9229.5945945946)^2/169551897.337805)^0.5</f>
        <v>10973.546304246984</v>
      </c>
    </row>
    <row r="34" spans="1:8" x14ac:dyDescent="0.3">
      <c r="A34">
        <v>34</v>
      </c>
      <c r="C34">
        <f t="shared" si="4"/>
        <v>10448.645770217694</v>
      </c>
      <c r="D34">
        <f t="shared" si="5"/>
        <v>9431.1672610572368</v>
      </c>
      <c r="E34">
        <v>34</v>
      </c>
      <c r="G34">
        <f t="shared" si="6"/>
        <v>10151.384093374163</v>
      </c>
      <c r="H34">
        <f t="shared" si="7"/>
        <v>11167.017428378929</v>
      </c>
    </row>
    <row r="35" spans="1:8" x14ac:dyDescent="0.3">
      <c r="A35">
        <v>35</v>
      </c>
      <c r="C35">
        <f t="shared" si="4"/>
        <v>10632.936628529063</v>
      </c>
      <c r="D35">
        <f t="shared" si="5"/>
        <v>9614.0591015213449</v>
      </c>
      <c r="E35">
        <v>35</v>
      </c>
      <c r="G35">
        <f t="shared" si="6"/>
        <v>10343.932220486744</v>
      </c>
      <c r="H35">
        <f t="shared" si="7"/>
        <v>11360.702684013755</v>
      </c>
    </row>
    <row r="36" spans="1:8" x14ac:dyDescent="0.3">
      <c r="A36">
        <v>36</v>
      </c>
      <c r="C36">
        <f t="shared" si="4"/>
        <v>10817.227486840435</v>
      </c>
      <c r="D36">
        <f t="shared" si="5"/>
        <v>9796.7566490005538</v>
      </c>
      <c r="E36">
        <v>36</v>
      </c>
      <c r="G36">
        <f t="shared" si="6"/>
        <v>10536.480347599325</v>
      </c>
      <c r="H36">
        <f t="shared" si="7"/>
        <v>11554.60135366812</v>
      </c>
    </row>
    <row r="37" spans="1:8" x14ac:dyDescent="0.3">
      <c r="A37">
        <v>37</v>
      </c>
      <c r="C37">
        <f t="shared" si="4"/>
        <v>11001.518345151806</v>
      </c>
      <c r="D37">
        <f t="shared" si="5"/>
        <v>9979.2608119811357</v>
      </c>
      <c r="E37">
        <v>37</v>
      </c>
      <c r="G37">
        <f t="shared" si="6"/>
        <v>10729.028474711906</v>
      </c>
      <c r="H37">
        <f t="shared" si="7"/>
        <v>11748.712589360022</v>
      </c>
    </row>
    <row r="38" spans="1:8" x14ac:dyDescent="0.3">
      <c r="A38">
        <v>38</v>
      </c>
      <c r="C38">
        <f t="shared" si="4"/>
        <v>11185.809203463177</v>
      </c>
      <c r="D38">
        <f t="shared" si="5"/>
        <v>10161.57260249198</v>
      </c>
      <c r="E38">
        <v>38</v>
      </c>
      <c r="G38">
        <f t="shared" si="6"/>
        <v>10921.576601824487</v>
      </c>
      <c r="H38">
        <f t="shared" si="7"/>
        <v>11943.035415239136</v>
      </c>
    </row>
    <row r="39" spans="1:8" x14ac:dyDescent="0.3">
      <c r="A39">
        <v>39</v>
      </c>
      <c r="C39">
        <f t="shared" si="4"/>
        <v>11370.100061774549</v>
      </c>
      <c r="D39">
        <f t="shared" si="5"/>
        <v>10343.69313330214</v>
      </c>
      <c r="E39">
        <v>39</v>
      </c>
      <c r="G39">
        <f t="shared" si="6"/>
        <v>11114.124728937069</v>
      </c>
      <c r="H39">
        <f t="shared" si="7"/>
        <v>12137.568730584831</v>
      </c>
    </row>
    <row r="40" spans="1:8" x14ac:dyDescent="0.3">
      <c r="A40">
        <v>40</v>
      </c>
      <c r="C40">
        <f t="shared" si="4"/>
        <v>11554.39092008592</v>
      </c>
      <c r="D40">
        <f t="shared" si="5"/>
        <v>10525.623614877601</v>
      </c>
      <c r="E40">
        <v>40</v>
      </c>
      <c r="G40">
        <f t="shared" si="6"/>
        <v>11306.672856049649</v>
      </c>
      <c r="H40">
        <f t="shared" si="7"/>
        <v>12332.311313150725</v>
      </c>
    </row>
    <row r="41" spans="1:8" x14ac:dyDescent="0.3">
      <c r="A41">
        <v>41</v>
      </c>
      <c r="C41">
        <f t="shared" si="4"/>
        <v>11738.681778397291</v>
      </c>
      <c r="D41">
        <f t="shared" si="5"/>
        <v>10707.36535211615</v>
      </c>
      <c r="E41">
        <v>41</v>
      </c>
      <c r="G41">
        <f t="shared" si="6"/>
        <v>11499.220983162231</v>
      </c>
      <c r="H41">
        <f t="shared" si="7"/>
        <v>12527.261822832595</v>
      </c>
    </row>
    <row r="42" spans="1:8" x14ac:dyDescent="0.3">
      <c r="A42">
        <v>42</v>
      </c>
      <c r="C42">
        <f t="shared" si="4"/>
        <v>11922.972636708662</v>
      </c>
      <c r="D42">
        <f t="shared" si="5"/>
        <v>10888.919740880163</v>
      </c>
      <c r="E42">
        <v>42</v>
      </c>
      <c r="G42">
        <f t="shared" si="6"/>
        <v>11691.76911027481</v>
      </c>
      <c r="H42">
        <f t="shared" si="7"/>
        <v>12722.418805634581</v>
      </c>
    </row>
    <row r="43" spans="1:8" x14ac:dyDescent="0.3">
      <c r="A43">
        <v>43</v>
      </c>
      <c r="C43">
        <f t="shared" si="4"/>
        <v>12107.263495020034</v>
      </c>
      <c r="D43">
        <f t="shared" si="5"/>
        <v>11070.288264347864</v>
      </c>
      <c r="E43">
        <v>43</v>
      </c>
      <c r="G43">
        <f t="shared" si="6"/>
        <v>11884.317237387393</v>
      </c>
      <c r="H43">
        <f t="shared" si="7"/>
        <v>12917.78069790731</v>
      </c>
    </row>
    <row r="44" spans="1:8" x14ac:dyDescent="0.3">
      <c r="A44">
        <v>44</v>
      </c>
      <c r="C44">
        <f t="shared" si="4"/>
        <v>12291.554353331405</v>
      </c>
      <c r="D44">
        <f t="shared" si="5"/>
        <v>11251.472489204267</v>
      </c>
      <c r="E44">
        <v>44</v>
      </c>
      <c r="G44">
        <f t="shared" si="6"/>
        <v>12076.865364499972</v>
      </c>
      <c r="H44">
        <f t="shared" si="7"/>
        <v>13113.345830830132</v>
      </c>
    </row>
    <row r="45" spans="1:8" x14ac:dyDescent="0.3">
      <c r="A45">
        <v>45</v>
      </c>
      <c r="C45">
        <f t="shared" si="4"/>
        <v>12475.845211642776</v>
      </c>
      <c r="D45">
        <f t="shared" si="5"/>
        <v>11432.474061693221</v>
      </c>
      <c r="E45">
        <v>45</v>
      </c>
      <c r="G45">
        <f t="shared" si="6"/>
        <v>12269.413491612555</v>
      </c>
      <c r="H45">
        <f t="shared" si="7"/>
        <v>13309.11243510906</v>
      </c>
    </row>
    <row r="46" spans="1:8" x14ac:dyDescent="0.3">
      <c r="A46">
        <v>46</v>
      </c>
      <c r="C46">
        <f t="shared" si="4"/>
        <v>12660.136069954147</v>
      </c>
      <c r="D46">
        <f t="shared" si="5"/>
        <v>11613.294703552237</v>
      </c>
      <c r="E46">
        <v>46</v>
      </c>
      <c r="G46">
        <f t="shared" si="6"/>
        <v>12461.961618725134</v>
      </c>
      <c r="H46">
        <f t="shared" si="7"/>
        <v>13505.078645861151</v>
      </c>
    </row>
    <row r="47" spans="1:8" x14ac:dyDescent="0.3">
      <c r="A47">
        <v>47</v>
      </c>
      <c r="C47">
        <f t="shared" si="4"/>
        <v>12844.426928265519</v>
      </c>
      <c r="D47">
        <f t="shared" si="5"/>
        <v>11793.936207851641</v>
      </c>
      <c r="E47">
        <v>47</v>
      </c>
      <c r="G47">
        <f t="shared" si="6"/>
        <v>12654.509745837717</v>
      </c>
      <c r="H47">
        <f t="shared" si="7"/>
        <v>13701.242507656123</v>
      </c>
    </row>
    <row r="48" spans="1:8" x14ac:dyDescent="0.3">
      <c r="A48">
        <v>48</v>
      </c>
      <c r="C48">
        <f t="shared" si="4"/>
        <v>13028.717786576886</v>
      </c>
      <c r="D48">
        <f t="shared" si="5"/>
        <v>11974.400434759413</v>
      </c>
      <c r="E48">
        <v>48</v>
      </c>
      <c r="G48">
        <f t="shared" si="6"/>
        <v>12847.057872950296</v>
      </c>
      <c r="H48">
        <f t="shared" si="7"/>
        <v>13897.601979685691</v>
      </c>
    </row>
    <row r="49" spans="1:8" x14ac:dyDescent="0.3">
      <c r="A49">
        <v>49</v>
      </c>
      <c r="C49">
        <f t="shared" si="4"/>
        <v>13213.008644888258</v>
      </c>
      <c r="D49">
        <f t="shared" si="5"/>
        <v>12154.689307252664</v>
      </c>
      <c r="E49">
        <v>49</v>
      </c>
      <c r="G49">
        <f t="shared" si="6"/>
        <v>13039.606000062879</v>
      </c>
      <c r="H49">
        <f t="shared" si="7"/>
        <v>14094.154941031728</v>
      </c>
    </row>
    <row r="50" spans="1:8" x14ac:dyDescent="0.3">
      <c r="A50">
        <v>50</v>
      </c>
      <c r="C50">
        <f t="shared" si="4"/>
        <v>13397.299503199629</v>
      </c>
      <c r="D50">
        <f t="shared" si="5"/>
        <v>12334.804806796037</v>
      </c>
      <c r="E50">
        <v>50</v>
      </c>
      <c r="G50">
        <f t="shared" si="6"/>
        <v>13232.154127175458</v>
      </c>
      <c r="H50">
        <f t="shared" si="7"/>
        <v>14290.899196004657</v>
      </c>
    </row>
    <row r="51" spans="1:8" x14ac:dyDescent="0.3">
      <c r="A51">
        <v>51</v>
      </c>
      <c r="C51">
        <f t="shared" si="4"/>
        <v>13581.590361511</v>
      </c>
      <c r="D51">
        <f t="shared" si="5"/>
        <v>12514.748969006767</v>
      </c>
      <c r="E51">
        <v>51</v>
      </c>
      <c r="G51">
        <f t="shared" si="6"/>
        <v>13424.70225428804</v>
      </c>
      <c r="H51">
        <f t="shared" si="7"/>
        <v>14487.83247952451</v>
      </c>
    </row>
    <row r="52" spans="1:8" x14ac:dyDescent="0.3">
      <c r="A52">
        <v>52</v>
      </c>
      <c r="C52">
        <f t="shared" si="4"/>
        <v>13765.881219822371</v>
      </c>
      <c r="D52">
        <f t="shared" si="5"/>
        <v>12694.523879325154</v>
      </c>
      <c r="E52">
        <v>52</v>
      </c>
      <c r="G52">
        <f t="shared" si="6"/>
        <v>13617.25038140062</v>
      </c>
      <c r="H52">
        <f t="shared" si="7"/>
        <v>14684.952462517875</v>
      </c>
    </row>
    <row r="53" spans="1:8" x14ac:dyDescent="0.3">
      <c r="A53">
        <v>53</v>
      </c>
      <c r="C53">
        <f t="shared" si="4"/>
        <v>13950.172078133743</v>
      </c>
      <c r="D53">
        <f t="shared" si="5"/>
        <v>12874.131668708305</v>
      </c>
      <c r="E53">
        <v>53</v>
      </c>
      <c r="G53">
        <f t="shared" si="6"/>
        <v>13809.798508513202</v>
      </c>
      <c r="H53">
        <f t="shared" si="7"/>
        <v>14882.256757305415</v>
      </c>
    </row>
    <row r="54" spans="1:8" x14ac:dyDescent="0.3">
      <c r="A54">
        <v>54</v>
      </c>
      <c r="C54">
        <f t="shared" si="4"/>
        <v>14134.462936445114</v>
      </c>
      <c r="D54">
        <f t="shared" si="5"/>
        <v>13053.574509363974</v>
      </c>
      <c r="E54">
        <v>54</v>
      </c>
      <c r="G54">
        <f t="shared" si="6"/>
        <v>14002.346635625781</v>
      </c>
      <c r="H54">
        <f t="shared" si="7"/>
        <v>15079.74292295574</v>
      </c>
    </row>
    <row r="55" spans="1:8" x14ac:dyDescent="0.3">
      <c r="A55">
        <v>55</v>
      </c>
      <c r="C55">
        <f t="shared" si="4"/>
        <v>14318.753794756485</v>
      </c>
      <c r="D55">
        <f t="shared" si="5"/>
        <v>13232.854610540146</v>
      </c>
      <c r="E55">
        <v>55</v>
      </c>
      <c r="G55">
        <f t="shared" si="6"/>
        <v>14194.894762738364</v>
      </c>
      <c r="H55">
        <f t="shared" si="7"/>
        <v>15277.408470583152</v>
      </c>
    </row>
    <row r="56" spans="1:8" x14ac:dyDescent="0.3">
      <c r="A56">
        <v>56</v>
      </c>
      <c r="C56">
        <f t="shared" si="4"/>
        <v>14503.044653067856</v>
      </c>
      <c r="D56">
        <f t="shared" si="5"/>
        <v>13411.974214384923</v>
      </c>
      <c r="E56">
        <v>56</v>
      </c>
      <c r="G56">
        <f t="shared" si="6"/>
        <v>14387.442889850947</v>
      </c>
      <c r="H56">
        <f t="shared" si="7"/>
        <v>15475.250868568208</v>
      </c>
    </row>
    <row r="57" spans="1:8" x14ac:dyDescent="0.3">
      <c r="A57">
        <v>57</v>
      </c>
      <c r="C57">
        <f t="shared" si="4"/>
        <v>14687.335511379228</v>
      </c>
      <c r="D57">
        <f t="shared" si="5"/>
        <v>13590.93559188994</v>
      </c>
      <c r="E57">
        <v>57</v>
      </c>
      <c r="G57">
        <f t="shared" si="6"/>
        <v>14579.991016963526</v>
      </c>
      <c r="H57">
        <f t="shared" si="7"/>
        <v>15673.267547681884</v>
      </c>
    </row>
    <row r="58" spans="1:8" x14ac:dyDescent="0.3">
      <c r="A58">
        <v>58</v>
      </c>
      <c r="C58">
        <f t="shared" si="4"/>
        <v>14871.626369690599</v>
      </c>
      <c r="D58">
        <f t="shared" si="5"/>
        <v>13769.741038929384</v>
      </c>
      <c r="E58">
        <v>58</v>
      </c>
      <c r="G58">
        <f t="shared" si="6"/>
        <v>14772.539144076109</v>
      </c>
      <c r="H58">
        <f t="shared" si="7"/>
        <v>15871.455906095773</v>
      </c>
    </row>
    <row r="59" spans="1:8" x14ac:dyDescent="0.3">
      <c r="A59">
        <v>59</v>
      </c>
      <c r="C59">
        <f t="shared" si="4"/>
        <v>15055.91722800197</v>
      </c>
      <c r="D59">
        <f t="shared" si="5"/>
        <v>13948.392872405362</v>
      </c>
      <c r="E59">
        <v>59</v>
      </c>
      <c r="G59">
        <f t="shared" si="6"/>
        <v>14965.087271188688</v>
      </c>
      <c r="H59">
        <f t="shared" si="7"/>
        <v>16069.813314262519</v>
      </c>
    </row>
    <row r="60" spans="1:8" x14ac:dyDescent="0.3">
      <c r="A60">
        <v>60</v>
      </c>
      <c r="C60">
        <f t="shared" si="4"/>
        <v>15240.208086313341</v>
      </c>
      <c r="D60">
        <f t="shared" si="5"/>
        <v>14126.893426509161</v>
      </c>
      <c r="E60">
        <v>60</v>
      </c>
      <c r="G60">
        <f t="shared" si="6"/>
        <v>15157.63539830127</v>
      </c>
      <c r="H60">
        <f t="shared" si="7"/>
        <v>16268.337119652651</v>
      </c>
    </row>
    <row r="61" spans="1:8" x14ac:dyDescent="0.3">
      <c r="A61">
        <v>61</v>
      </c>
      <c r="C61">
        <f t="shared" si="4"/>
        <v>15424.498944624713</v>
      </c>
      <c r="D61">
        <f t="shared" si="5"/>
        <v>14305.245049106628</v>
      </c>
      <c r="E61">
        <v>61</v>
      </c>
      <c r="G61">
        <f t="shared" si="6"/>
        <v>15350.18352541385</v>
      </c>
      <c r="H61">
        <f t="shared" si="7"/>
        <v>16467.024651335461</v>
      </c>
    </row>
    <row r="62" spans="1:8" x14ac:dyDescent="0.3">
      <c r="A62">
        <v>62</v>
      </c>
      <c r="C62">
        <f t="shared" si="4"/>
        <v>15608.78980293608</v>
      </c>
      <c r="D62">
        <f t="shared" si="5"/>
        <v>14483.450098254778</v>
      </c>
      <c r="E62">
        <v>62</v>
      </c>
      <c r="G62">
        <f t="shared" si="6"/>
        <v>15542.731652526432</v>
      </c>
      <c r="H62">
        <f t="shared" si="7"/>
        <v>16665.873224393647</v>
      </c>
    </row>
    <row r="63" spans="1:8" x14ac:dyDescent="0.3">
      <c r="A63">
        <v>63</v>
      </c>
      <c r="C63">
        <f t="shared" si="4"/>
        <v>15793.080661247452</v>
      </c>
      <c r="D63">
        <f t="shared" si="5"/>
        <v>14661.510938855459</v>
      </c>
      <c r="E63">
        <v>63</v>
      </c>
      <c r="G63">
        <f t="shared" si="6"/>
        <v>15735.279779639011</v>
      </c>
      <c r="H63">
        <f t="shared" si="7"/>
        <v>16864.880144162868</v>
      </c>
    </row>
    <row r="64" spans="1:8" x14ac:dyDescent="0.3">
      <c r="A64">
        <v>64</v>
      </c>
      <c r="C64">
        <f t="shared" si="4"/>
        <v>15977.371519558823</v>
      </c>
      <c r="D64">
        <f t="shared" si="5"/>
        <v>14839.429939450834</v>
      </c>
      <c r="E64">
        <v>64</v>
      </c>
      <c r="G64">
        <f t="shared" si="6"/>
        <v>15927.827906751594</v>
      </c>
      <c r="H64">
        <f t="shared" si="7"/>
        <v>17064.042710289235</v>
      </c>
    </row>
    <row r="65" spans="1:8" x14ac:dyDescent="0.3">
      <c r="A65">
        <v>65</v>
      </c>
      <c r="C65">
        <f t="shared" ref="C65:C70" si="8">4367.04744594245+(A65-1)*184.290858311371</f>
        <v>16161.662377870194</v>
      </c>
      <c r="D65">
        <f t="shared" ref="D65:D70" si="9">0+1*C65-999.744464996232*(1.02702702702703+(C65-9229.5945945946)^2/169551897.337805)^0.5</f>
        <v>15017.209469164323</v>
      </c>
      <c r="E65">
        <v>65</v>
      </c>
      <c r="G65">
        <f t="shared" ref="G65:G70" si="10">3797.29589865899+(E65-1)*192.548127112581</f>
        <v>16120.376033864173</v>
      </c>
      <c r="H65">
        <f t="shared" ref="H65:H70" si="11">0+1*G65+999.744464996232*(1.02702702702703+(G65-9229.5945945946)^2/169551897.337805)^0.5</f>
        <v>17263.358220599075</v>
      </c>
    </row>
    <row r="66" spans="1:8" x14ac:dyDescent="0.3">
      <c r="A66">
        <v>66</v>
      </c>
      <c r="C66">
        <f t="shared" si="8"/>
        <v>16345.953236181565</v>
      </c>
      <c r="D66">
        <f t="shared" si="9"/>
        <v>15194.851894789643</v>
      </c>
      <c r="E66">
        <v>66</v>
      </c>
      <c r="G66">
        <f t="shared" si="10"/>
        <v>16312.924160976756</v>
      </c>
      <c r="H66">
        <f t="shared" si="11"/>
        <v>17462.823974777111</v>
      </c>
    </row>
    <row r="67" spans="1:8" x14ac:dyDescent="0.3">
      <c r="A67">
        <v>67</v>
      </c>
      <c r="C67">
        <f t="shared" si="8"/>
        <v>16530.244094492937</v>
      </c>
      <c r="D67">
        <f t="shared" si="9"/>
        <v>15372.359578029602</v>
      </c>
      <c r="E67">
        <v>67</v>
      </c>
      <c r="G67">
        <f t="shared" si="10"/>
        <v>16505.472288089335</v>
      </c>
      <c r="H67">
        <f t="shared" si="11"/>
        <v>17662.437277850244</v>
      </c>
    </row>
    <row r="68" spans="1:8" x14ac:dyDescent="0.3">
      <c r="A68">
        <v>68</v>
      </c>
      <c r="C68">
        <f t="shared" si="8"/>
        <v>16714.534952804308</v>
      </c>
      <c r="D68">
        <f t="shared" si="9"/>
        <v>15549.734872885412</v>
      </c>
      <c r="E68">
        <v>68</v>
      </c>
      <c r="G68">
        <f t="shared" si="10"/>
        <v>16698.020415201918</v>
      </c>
      <c r="H68">
        <f t="shared" si="11"/>
        <v>17862.195443475761</v>
      </c>
    </row>
    <row r="69" spans="1:8" x14ac:dyDescent="0.3">
      <c r="A69">
        <v>69</v>
      </c>
      <c r="C69">
        <f t="shared" si="8"/>
        <v>16898.825811115679</v>
      </c>
      <c r="D69">
        <f t="shared" si="9"/>
        <v>15726.980123196452</v>
      </c>
      <c r="E69">
        <v>69</v>
      </c>
      <c r="G69">
        <f t="shared" si="10"/>
        <v>16890.568542314497</v>
      </c>
      <c r="H69">
        <f t="shared" si="11"/>
        <v>18062.0957970337</v>
      </c>
    </row>
    <row r="70" spans="1:8" x14ac:dyDescent="0.3">
      <c r="A70">
        <v>70</v>
      </c>
      <c r="C70">
        <f t="shared" si="8"/>
        <v>17083.116669427051</v>
      </c>
      <c r="D70">
        <f t="shared" si="9"/>
        <v>15904.097660329657</v>
      </c>
      <c r="E70">
        <v>70</v>
      </c>
      <c r="G70">
        <f t="shared" si="10"/>
        <v>17083.11666942708</v>
      </c>
      <c r="H70">
        <f t="shared" si="11"/>
        <v>18262.135678524475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17</vt:i4>
      </vt:variant>
    </vt:vector>
  </HeadingPairs>
  <TitlesOfParts>
    <vt:vector size="17" baseType="lpstr">
      <vt:lpstr>Stock Prices</vt:lpstr>
      <vt:lpstr>XLSTAT_20211005_171642_1_HID</vt:lpstr>
      <vt:lpstr>XLSTAT_20211005_171523_1_HID</vt:lpstr>
      <vt:lpstr>XLSTAT_20211005_171239_1_HID</vt:lpstr>
      <vt:lpstr>Index Prices</vt:lpstr>
      <vt:lpstr>Risk-free rate</vt:lpstr>
      <vt:lpstr>FF factors</vt:lpstr>
      <vt:lpstr>ANCOVA</vt:lpstr>
      <vt:lpstr>Logit</vt:lpstr>
      <vt:lpstr>Panel</vt:lpstr>
      <vt:lpstr>AR(1)</vt:lpstr>
      <vt:lpstr>XLSTAT_20211005_173753_1_HID</vt:lpstr>
      <vt:lpstr>XLSTAT_20211005_173510_1_HID</vt:lpstr>
      <vt:lpstr>XLSTAT_20211005_102709_1_HID</vt:lpstr>
      <vt:lpstr>XLSTAT_20211005_102144_1_HID</vt:lpstr>
      <vt:lpstr>XLSTAT_20211005_102028_1_HID</vt:lpstr>
      <vt:lpstr>XLSTAT_20211005_101545_1_HID</vt:lpstr>
    </vt:vector>
  </TitlesOfParts>
  <Company>TBS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CALAMIA Anna</dc:creator>
  <cp:lastModifiedBy>Thomas SADURNI</cp:lastModifiedBy>
  <dcterms:created xsi:type="dcterms:W3CDTF">2021-09-08T15:31:01Z</dcterms:created>
  <dcterms:modified xsi:type="dcterms:W3CDTF">2022-03-16T14:22:22Z</dcterms:modified>
</cp:coreProperties>
</file>